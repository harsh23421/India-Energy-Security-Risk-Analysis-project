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sin\Documents\India-Energy--Risk-Analytics\data\cleaned\"/>
    </mc:Choice>
  </mc:AlternateContent>
  <xr:revisionPtr revIDLastSave="0" documentId="13_ncr:1_{BDEC1BF0-2B75-471C-9010-08F0A5EB9695}" xr6:coauthVersionLast="47" xr6:coauthVersionMax="47" xr10:uidLastSave="{00000000-0000-0000-0000-000000000000}"/>
  <bookViews>
    <workbookView xWindow="-110" yWindow="-110" windowWidth="19420" windowHeight="11500" xr2:uid="{FFD15F03-DA5E-4A30-8B9D-528475015288}"/>
  </bookViews>
  <sheets>
    <sheet name="518e560e-7fa7-4f5b-8aed-3b903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L2" i="1" a="1"/>
  <c r="L2" i="1" s="1"/>
  <c r="K2" i="1" a="1"/>
  <c r="K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<sst xmlns="http://schemas.openxmlformats.org/spreadsheetml/2006/main" count="1262" uniqueCount="47">
  <si>
    <t>Month</t>
  </si>
  <si>
    <t>Year</t>
  </si>
  <si>
    <t>Products</t>
  </si>
  <si>
    <t>Trade</t>
  </si>
  <si>
    <t>Quantity_TMT</t>
  </si>
  <si>
    <t>Value_INR_Crore</t>
  </si>
  <si>
    <t>Value_USD_Million</t>
  </si>
  <si>
    <t>date_updated</t>
  </si>
  <si>
    <t>Date</t>
  </si>
  <si>
    <t>Record Type</t>
  </si>
  <si>
    <t>April</t>
  </si>
  <si>
    <t>CRUDE OIL</t>
  </si>
  <si>
    <t>Import</t>
  </si>
  <si>
    <t>Product</t>
  </si>
  <si>
    <t>LPG</t>
  </si>
  <si>
    <t>MS</t>
  </si>
  <si>
    <t>Naphtha</t>
  </si>
  <si>
    <t>ATF</t>
  </si>
  <si>
    <t>HSD</t>
  </si>
  <si>
    <t>LOBS / Lube Oil</t>
  </si>
  <si>
    <t>Fuel Oil</t>
  </si>
  <si>
    <t>Bitumen</t>
  </si>
  <si>
    <t>Petcoke</t>
  </si>
  <si>
    <t>Others</t>
  </si>
  <si>
    <t>PRODUCT IMPORT*</t>
  </si>
  <si>
    <t>Aggregate</t>
  </si>
  <si>
    <t>TOTAL IMPORT</t>
  </si>
  <si>
    <t>Export</t>
  </si>
  <si>
    <t>SKO</t>
  </si>
  <si>
    <t>Petcoke / CBFS</t>
  </si>
  <si>
    <t>TOTAL  PRODUCT EXPORT</t>
  </si>
  <si>
    <t>NET IMPORT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</si>
  <si>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</si>
  <si>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</si>
  <si>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</si>
  <si>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</si>
  <si>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</si>
  <si>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</si>
  <si>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</si>
  <si>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</si>
  <si>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</si>
  <si>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</si>
  <si>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</si>
  <si>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Missing_Quantity</t>
  </si>
  <si>
    <t>Missing_INR</t>
  </si>
  <si>
    <t>Missing_USD</t>
  </si>
  <si>
    <t>Data_Quality_Status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</si>
</sst>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DF9B-78F0-4B81-8B11-8D5FE5699422}">
  <dimension ref="A1:N313"/>
  <sheetViews>
    <sheetView tabSelected="1" workbookViewId="0">
      <selection activeCell="N1" sqref="N1"/>
    </sheetView>
  </sheetViews>
  <sheetFormatPr defaultRowHeight="14.5" x14ac:dyDescent="0.35"/>
  <cols>
    <col min="5" max="5" width="14.54296875" style="2" customWidth="1"/>
    <col min="6" max="6" width="16.90625" style="2" customWidth="1"/>
    <col min="7" max="7" width="8.7265625" style="2"/>
    <col min="8" max="9" width="10.08984375" style="1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t="s">
        <v>9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35">
      <c r="A2" t="s">
        <v>10</v>
      </c>
      <c r="B2">
        <v>2025</v>
      </c>
      <c r="C2" t="s">
        <v>11</v>
      </c>
      <c r="D2" t="s">
        <v>12</v>
      </c>
      <c r="E2" s="2">
        <v>20985.63</v>
      </c>
      <c r="F2" s="2">
        <v>91216.15</v>
      </c>
      <c r="G2" s="2">
        <v>10664.39</v>
      </c>
      <c r="H2" s="1">
        <v>46241.25277777778</v>
      </c>
      <c r="I2" s="1">
        <v>45748</v>
      </c>
      <c r="J2" t="s">
        <v>13</v>
      </c>
      <c r="K2" t="str" cm="1">
        <f t="array" ref="K2:K313">IF(ISBLANK(E2:E313),"Missing","Available")</f>
        <v>Available</v>
      </c>
      <c r="L2" t="str" cm="1">
        <f t="array" ref="L2:L313">IF(ISBLANK(F2:F313),"Missing","Available")</f>
        <v>Available</v>
      </c>
      <c r="M2" t="str" cm="1">
        <f t="array" ref="M2:M313">IF(ISBLANK(G2:G313),"Missing","Available")</f>
        <v>Available</v>
      </c>
      <c r="N2" t="str">
        <f>IF(AND(NOT(ISBLANK(E2)),NOT(ISBLANK(F2)),NOT(ISBLANK(G2))),"Complete","Missing Data")</f>
        <v>Complete</v>
      </c>
    </row>
    <row r="3" spans="1:14" x14ac:dyDescent="0.35">
      <c r="A3" t="s">
        <v>10</v>
      </c>
      <c r="B3">
        <v>2025</v>
      </c>
      <c r="C3" t="s">
        <v>14</v>
      </c>
      <c r="D3" t="s">
        <v>12</v>
      </c>
      <c r="E3" s="2">
        <v>1605.94</v>
      </c>
      <c r="F3" s="2">
        <v>8314.24</v>
      </c>
      <c r="G3" s="2">
        <v>971.71</v>
      </c>
      <c r="H3" s="1">
        <v>46241.25277777778</v>
      </c>
      <c r="I3" s="1">
        <v>45748</v>
      </c>
      <c r="J3" t="s">
        <v>13</v>
      </c>
      <c r="K3" t="str">
        <v>Available</v>
      </c>
      <c r="L3" t="str">
        <v>Available</v>
      </c>
      <c r="M3" t="str">
        <v>Available</v>
      </c>
      <c r="N3" t="str">
        <f t="shared" ref="N3:N66" si="0">IF(AND(NOT(ISBLANK(E3)),NOT(ISBLANK(F3)),NOT(ISBLANK(G3))),"Complete","Missing Data")</f>
        <v>Complete</v>
      </c>
    </row>
    <row r="4" spans="1:14" x14ac:dyDescent="0.35">
      <c r="A4" t="s">
        <v>10</v>
      </c>
      <c r="B4">
        <v>2025</v>
      </c>
      <c r="C4" t="s">
        <v>15</v>
      </c>
      <c r="D4" t="s">
        <v>12</v>
      </c>
      <c r="E4" s="2">
        <v>0</v>
      </c>
      <c r="F4" s="2">
        <v>0.23</v>
      </c>
      <c r="G4" s="2">
        <v>0.03</v>
      </c>
      <c r="H4" s="1">
        <v>46241.25277777778</v>
      </c>
      <c r="I4" s="1">
        <v>45748</v>
      </c>
      <c r="J4" t="s">
        <v>13</v>
      </c>
      <c r="K4" t="str">
        <v>Available</v>
      </c>
      <c r="L4" t="str">
        <v>Available</v>
      </c>
      <c r="M4" t="str">
        <v>Available</v>
      </c>
      <c r="N4" t="str">
        <f t="shared" si="0"/>
        <v>Complete</v>
      </c>
    </row>
    <row r="5" spans="1:14" x14ac:dyDescent="0.35">
      <c r="A5" t="s">
        <v>10</v>
      </c>
      <c r="B5">
        <v>2025</v>
      </c>
      <c r="C5" t="s">
        <v>16</v>
      </c>
      <c r="D5" t="s">
        <v>12</v>
      </c>
      <c r="E5" s="2">
        <v>203.48</v>
      </c>
      <c r="F5" s="2">
        <v>1047.3599999999999</v>
      </c>
      <c r="G5" s="2">
        <v>122.77</v>
      </c>
      <c r="H5" s="1">
        <v>46241.25277777778</v>
      </c>
      <c r="I5" s="1">
        <v>45748</v>
      </c>
      <c r="J5" t="s">
        <v>13</v>
      </c>
      <c r="K5" t="str">
        <v>Available</v>
      </c>
      <c r="L5" t="str">
        <v>Available</v>
      </c>
      <c r="M5" t="str">
        <v>Available</v>
      </c>
      <c r="N5" t="str">
        <f t="shared" si="0"/>
        <v>Complete</v>
      </c>
    </row>
    <row r="6" spans="1:14" x14ac:dyDescent="0.35">
      <c r="A6" t="s">
        <v>10</v>
      </c>
      <c r="B6">
        <v>2025</v>
      </c>
      <c r="C6" t="s">
        <v>17</v>
      </c>
      <c r="D6" t="s">
        <v>12</v>
      </c>
      <c r="H6" s="1">
        <v>46241.25277777778</v>
      </c>
      <c r="I6" s="1">
        <v>45748</v>
      </c>
      <c r="J6" t="s">
        <v>13</v>
      </c>
      <c r="K6" t="str">
        <v>Missing</v>
      </c>
      <c r="L6" t="str">
        <v>Missing</v>
      </c>
      <c r="M6" t="str">
        <v>Missing</v>
      </c>
      <c r="N6" t="str">
        <f t="shared" si="0"/>
        <v>Missing Data</v>
      </c>
    </row>
    <row r="7" spans="1:14" x14ac:dyDescent="0.35">
      <c r="A7" t="s">
        <v>10</v>
      </c>
      <c r="B7">
        <v>2025</v>
      </c>
      <c r="C7" t="s">
        <v>18</v>
      </c>
      <c r="D7" t="s">
        <v>12</v>
      </c>
      <c r="E7" s="2">
        <v>1.1499999999999999</v>
      </c>
      <c r="F7" s="2">
        <v>7.96</v>
      </c>
      <c r="G7" s="2">
        <v>0.93</v>
      </c>
      <c r="H7" s="1">
        <v>46241.25277777778</v>
      </c>
      <c r="I7" s="1">
        <v>45748</v>
      </c>
      <c r="J7" t="s">
        <v>13</v>
      </c>
      <c r="K7" t="str">
        <v>Available</v>
      </c>
      <c r="L7" t="str">
        <v>Available</v>
      </c>
      <c r="M7" t="str">
        <v>Available</v>
      </c>
      <c r="N7" t="str">
        <f t="shared" si="0"/>
        <v>Complete</v>
      </c>
    </row>
    <row r="8" spans="1:14" x14ac:dyDescent="0.35">
      <c r="A8" t="s">
        <v>10</v>
      </c>
      <c r="B8">
        <v>2025</v>
      </c>
      <c r="C8" t="s">
        <v>19</v>
      </c>
      <c r="D8" t="s">
        <v>12</v>
      </c>
      <c r="E8" s="2">
        <v>296.12</v>
      </c>
      <c r="F8" s="2">
        <v>2182.85</v>
      </c>
      <c r="G8" s="2">
        <v>255.13</v>
      </c>
      <c r="H8" s="1">
        <v>46241.25277777778</v>
      </c>
      <c r="I8" s="1">
        <v>45748</v>
      </c>
      <c r="J8" t="s">
        <v>13</v>
      </c>
      <c r="K8" t="str">
        <v>Available</v>
      </c>
      <c r="L8" t="str">
        <v>Available</v>
      </c>
      <c r="M8" t="str">
        <v>Available</v>
      </c>
      <c r="N8" t="str">
        <f t="shared" si="0"/>
        <v>Complete</v>
      </c>
    </row>
    <row r="9" spans="1:14" x14ac:dyDescent="0.35">
      <c r="A9" t="s">
        <v>10</v>
      </c>
      <c r="B9">
        <v>2025</v>
      </c>
      <c r="C9" t="s">
        <v>20</v>
      </c>
      <c r="D9" t="s">
        <v>12</v>
      </c>
      <c r="E9" s="2">
        <v>296.89999999999998</v>
      </c>
      <c r="F9" s="2">
        <v>1004.65</v>
      </c>
      <c r="G9" s="2">
        <v>117.6</v>
      </c>
      <c r="H9" s="1">
        <v>46241.25277777778</v>
      </c>
      <c r="I9" s="1">
        <v>45748</v>
      </c>
      <c r="J9" t="s">
        <v>13</v>
      </c>
      <c r="K9" t="str">
        <v>Available</v>
      </c>
      <c r="L9" t="str">
        <v>Available</v>
      </c>
      <c r="M9" t="str">
        <v>Available</v>
      </c>
      <c r="N9" t="str">
        <f t="shared" si="0"/>
        <v>Complete</v>
      </c>
    </row>
    <row r="10" spans="1:14" x14ac:dyDescent="0.35">
      <c r="A10" t="s">
        <v>10</v>
      </c>
      <c r="B10">
        <v>2025</v>
      </c>
      <c r="C10" t="s">
        <v>21</v>
      </c>
      <c r="D10" t="s">
        <v>12</v>
      </c>
      <c r="E10" s="2">
        <v>297.3</v>
      </c>
      <c r="F10" s="2">
        <v>997.66</v>
      </c>
      <c r="G10" s="2">
        <v>116.6</v>
      </c>
      <c r="H10" s="1">
        <v>46241.25277777778</v>
      </c>
      <c r="I10" s="1">
        <v>45748</v>
      </c>
      <c r="J10" t="s">
        <v>13</v>
      </c>
      <c r="K10" t="str">
        <v>Available</v>
      </c>
      <c r="L10" t="str">
        <v>Available</v>
      </c>
      <c r="M10" t="str">
        <v>Available</v>
      </c>
      <c r="N10" t="str">
        <f t="shared" si="0"/>
        <v>Complete</v>
      </c>
    </row>
    <row r="11" spans="1:14" x14ac:dyDescent="0.35">
      <c r="A11" t="s">
        <v>10</v>
      </c>
      <c r="B11">
        <v>2025</v>
      </c>
      <c r="C11" t="s">
        <v>22</v>
      </c>
      <c r="D11" t="s">
        <v>12</v>
      </c>
      <c r="E11" s="2">
        <v>955.63</v>
      </c>
      <c r="F11" s="2">
        <v>1096.3499999999999</v>
      </c>
      <c r="G11" s="2">
        <v>128.13999999999999</v>
      </c>
      <c r="H11" s="1">
        <v>46241.25277777778</v>
      </c>
      <c r="I11" s="1">
        <v>45748</v>
      </c>
      <c r="J11" t="s">
        <v>13</v>
      </c>
      <c r="K11" t="str">
        <v>Available</v>
      </c>
      <c r="L11" t="str">
        <v>Available</v>
      </c>
      <c r="M11" t="str">
        <v>Available</v>
      </c>
      <c r="N11" t="str">
        <f t="shared" si="0"/>
        <v>Complete</v>
      </c>
    </row>
    <row r="12" spans="1:14" x14ac:dyDescent="0.35">
      <c r="A12" t="s">
        <v>10</v>
      </c>
      <c r="B12">
        <v>2025</v>
      </c>
      <c r="C12" t="s">
        <v>23</v>
      </c>
      <c r="D12" t="s">
        <v>12</v>
      </c>
      <c r="E12" s="2">
        <v>272.75</v>
      </c>
      <c r="F12" s="2">
        <v>1417.4</v>
      </c>
      <c r="G12" s="2">
        <v>165.59</v>
      </c>
      <c r="H12" s="1">
        <v>46241.25277777778</v>
      </c>
      <c r="I12" s="1">
        <v>45748</v>
      </c>
      <c r="J12" t="s">
        <v>13</v>
      </c>
      <c r="K12" t="str">
        <v>Available</v>
      </c>
      <c r="L12" t="str">
        <v>Available</v>
      </c>
      <c r="M12" t="str">
        <v>Available</v>
      </c>
      <c r="N12" t="str">
        <f t="shared" si="0"/>
        <v>Complete</v>
      </c>
    </row>
    <row r="13" spans="1:14" x14ac:dyDescent="0.35">
      <c r="A13" t="s">
        <v>10</v>
      </c>
      <c r="B13">
        <v>2025</v>
      </c>
      <c r="C13" t="s">
        <v>24</v>
      </c>
      <c r="D13" t="s">
        <v>12</v>
      </c>
      <c r="E13" s="2">
        <v>3929.27</v>
      </c>
      <c r="F13" s="2">
        <v>16068.7</v>
      </c>
      <c r="G13" s="2">
        <v>1878.48</v>
      </c>
      <c r="H13" s="1">
        <v>46241.25277777778</v>
      </c>
      <c r="I13" s="1">
        <v>45748</v>
      </c>
      <c r="J13" t="s">
        <v>25</v>
      </c>
      <c r="K13" t="str">
        <v>Available</v>
      </c>
      <c r="L13" t="str">
        <v>Available</v>
      </c>
      <c r="M13" t="str">
        <v>Available</v>
      </c>
      <c r="N13" t="str">
        <f t="shared" si="0"/>
        <v>Complete</v>
      </c>
    </row>
    <row r="14" spans="1:14" x14ac:dyDescent="0.35">
      <c r="A14" t="s">
        <v>10</v>
      </c>
      <c r="B14">
        <v>2025</v>
      </c>
      <c r="C14" t="s">
        <v>26</v>
      </c>
      <c r="D14" t="s">
        <v>12</v>
      </c>
      <c r="E14" s="2">
        <v>24914.9</v>
      </c>
      <c r="F14" s="2">
        <v>107284.85</v>
      </c>
      <c r="G14" s="2">
        <v>12542.87</v>
      </c>
      <c r="H14" s="1">
        <v>46241.25277777778</v>
      </c>
      <c r="I14" s="1">
        <v>45748</v>
      </c>
      <c r="J14" t="s">
        <v>25</v>
      </c>
      <c r="K14" t="str">
        <v>Available</v>
      </c>
      <c r="L14" t="str">
        <v>Available</v>
      </c>
      <c r="M14" t="str">
        <v>Available</v>
      </c>
      <c r="N14" t="str">
        <f t="shared" si="0"/>
        <v>Complete</v>
      </c>
    </row>
    <row r="15" spans="1:14" x14ac:dyDescent="0.35">
      <c r="A15" t="s">
        <v>10</v>
      </c>
      <c r="B15">
        <v>2025</v>
      </c>
      <c r="C15" t="s">
        <v>14</v>
      </c>
      <c r="D15" t="s">
        <v>27</v>
      </c>
      <c r="E15" s="2">
        <v>46.28</v>
      </c>
      <c r="F15" s="2">
        <v>304.38</v>
      </c>
      <c r="G15" s="2">
        <v>35.58</v>
      </c>
      <c r="H15" s="1">
        <v>46241.25277777778</v>
      </c>
      <c r="I15" s="1">
        <v>45748</v>
      </c>
      <c r="J15" t="s">
        <v>13</v>
      </c>
      <c r="K15" t="str">
        <v>Available</v>
      </c>
      <c r="L15" t="str">
        <v>Available</v>
      </c>
      <c r="M15" t="str">
        <v>Available</v>
      </c>
      <c r="N15" t="str">
        <f t="shared" si="0"/>
        <v>Complete</v>
      </c>
    </row>
    <row r="16" spans="1:14" x14ac:dyDescent="0.35">
      <c r="A16" t="s">
        <v>10</v>
      </c>
      <c r="B16">
        <v>2025</v>
      </c>
      <c r="C16" t="s">
        <v>15</v>
      </c>
      <c r="D16" t="s">
        <v>27</v>
      </c>
      <c r="E16" s="2">
        <v>1222.27</v>
      </c>
      <c r="F16" s="2">
        <v>6598.92</v>
      </c>
      <c r="G16" s="2">
        <v>769.82</v>
      </c>
      <c r="H16" s="1">
        <v>46241.25277777778</v>
      </c>
      <c r="I16" s="1">
        <v>45748</v>
      </c>
      <c r="J16" t="s">
        <v>13</v>
      </c>
      <c r="K16" t="str">
        <v>Available</v>
      </c>
      <c r="L16" t="str">
        <v>Available</v>
      </c>
      <c r="M16" t="str">
        <v>Available</v>
      </c>
      <c r="N16" t="str">
        <f t="shared" si="0"/>
        <v>Complete</v>
      </c>
    </row>
    <row r="17" spans="1:14" x14ac:dyDescent="0.35">
      <c r="A17" t="s">
        <v>10</v>
      </c>
      <c r="B17">
        <v>2025</v>
      </c>
      <c r="C17" t="s">
        <v>16</v>
      </c>
      <c r="D17" t="s">
        <v>27</v>
      </c>
      <c r="E17" s="2">
        <v>574.66999999999996</v>
      </c>
      <c r="F17" s="2">
        <v>2769.27</v>
      </c>
      <c r="G17" s="2">
        <v>323.45999999999998</v>
      </c>
      <c r="H17" s="1">
        <v>46241.25277777778</v>
      </c>
      <c r="I17" s="1">
        <v>45748</v>
      </c>
      <c r="J17" t="s">
        <v>13</v>
      </c>
      <c r="K17" t="str">
        <v>Available</v>
      </c>
      <c r="L17" t="str">
        <v>Available</v>
      </c>
      <c r="M17" t="str">
        <v>Available</v>
      </c>
      <c r="N17" t="str">
        <f t="shared" si="0"/>
        <v>Complete</v>
      </c>
    </row>
    <row r="18" spans="1:14" x14ac:dyDescent="0.35">
      <c r="A18" t="s">
        <v>10</v>
      </c>
      <c r="B18">
        <v>2025</v>
      </c>
      <c r="C18" t="s">
        <v>17</v>
      </c>
      <c r="D18" t="s">
        <v>27</v>
      </c>
      <c r="E18" s="2">
        <v>486.72</v>
      </c>
      <c r="F18" s="2">
        <v>2611.16</v>
      </c>
      <c r="G18" s="2">
        <v>303</v>
      </c>
      <c r="H18" s="1">
        <v>46241.25277777778</v>
      </c>
      <c r="I18" s="1">
        <v>45748</v>
      </c>
      <c r="J18" t="s">
        <v>13</v>
      </c>
      <c r="K18" t="str">
        <v>Available</v>
      </c>
      <c r="L18" t="str">
        <v>Available</v>
      </c>
      <c r="M18" t="str">
        <v>Available</v>
      </c>
      <c r="N18" t="str">
        <f t="shared" si="0"/>
        <v>Complete</v>
      </c>
    </row>
    <row r="19" spans="1:14" x14ac:dyDescent="0.35">
      <c r="A19" t="s">
        <v>10</v>
      </c>
      <c r="B19">
        <v>2025</v>
      </c>
      <c r="C19" t="s">
        <v>28</v>
      </c>
      <c r="D19" t="s">
        <v>27</v>
      </c>
      <c r="E19" s="2">
        <v>1.89</v>
      </c>
      <c r="F19" s="2">
        <v>12.53</v>
      </c>
      <c r="G19" s="2">
        <v>1.47</v>
      </c>
      <c r="H19" s="1">
        <v>46241.25277777778</v>
      </c>
      <c r="I19" s="1">
        <v>45748</v>
      </c>
      <c r="J19" t="s">
        <v>13</v>
      </c>
      <c r="K19" t="str">
        <v>Available</v>
      </c>
      <c r="L19" t="str">
        <v>Available</v>
      </c>
      <c r="M19" t="str">
        <v>Available</v>
      </c>
      <c r="N19" t="str">
        <f t="shared" si="0"/>
        <v>Complete</v>
      </c>
    </row>
    <row r="20" spans="1:14" x14ac:dyDescent="0.35">
      <c r="A20" t="s">
        <v>10</v>
      </c>
      <c r="B20">
        <v>2025</v>
      </c>
      <c r="C20" t="s">
        <v>18</v>
      </c>
      <c r="D20" t="s">
        <v>27</v>
      </c>
      <c r="E20" s="2">
        <v>1295.72</v>
      </c>
      <c r="F20" s="2">
        <v>6710.4</v>
      </c>
      <c r="G20" s="2">
        <v>782.91</v>
      </c>
      <c r="H20" s="1">
        <v>46241.25277777778</v>
      </c>
      <c r="I20" s="1">
        <v>45748</v>
      </c>
      <c r="J20" t="s">
        <v>13</v>
      </c>
      <c r="K20" t="str">
        <v>Available</v>
      </c>
      <c r="L20" t="str">
        <v>Available</v>
      </c>
      <c r="M20" t="str">
        <v>Available</v>
      </c>
      <c r="N20" t="str">
        <f t="shared" si="0"/>
        <v>Complete</v>
      </c>
    </row>
    <row r="21" spans="1:14" x14ac:dyDescent="0.35">
      <c r="A21" t="s">
        <v>10</v>
      </c>
      <c r="B21">
        <v>2025</v>
      </c>
      <c r="C21" t="s">
        <v>19</v>
      </c>
      <c r="D21" t="s">
        <v>27</v>
      </c>
      <c r="E21" s="2">
        <v>0.28999999999999998</v>
      </c>
      <c r="F21" s="2">
        <v>5.25</v>
      </c>
      <c r="G21" s="2">
        <v>0.62</v>
      </c>
      <c r="H21" s="1">
        <v>46241.25277777778</v>
      </c>
      <c r="I21" s="1">
        <v>45748</v>
      </c>
      <c r="J21" t="s">
        <v>13</v>
      </c>
      <c r="K21" t="str">
        <v>Available</v>
      </c>
      <c r="L21" t="str">
        <v>Available</v>
      </c>
      <c r="M21" t="str">
        <v>Available</v>
      </c>
      <c r="N21" t="str">
        <f t="shared" si="0"/>
        <v>Complete</v>
      </c>
    </row>
    <row r="22" spans="1:14" x14ac:dyDescent="0.35">
      <c r="A22" t="s">
        <v>10</v>
      </c>
      <c r="B22">
        <v>2025</v>
      </c>
      <c r="C22" t="s">
        <v>20</v>
      </c>
      <c r="D22" t="s">
        <v>27</v>
      </c>
      <c r="E22" s="2">
        <v>135.75</v>
      </c>
      <c r="F22" s="2">
        <v>467.88</v>
      </c>
      <c r="G22" s="2">
        <v>54.53</v>
      </c>
      <c r="H22" s="1">
        <v>46241.25277777778</v>
      </c>
      <c r="I22" s="1">
        <v>45748</v>
      </c>
      <c r="J22" t="s">
        <v>13</v>
      </c>
      <c r="K22" t="str">
        <v>Available</v>
      </c>
      <c r="L22" t="str">
        <v>Available</v>
      </c>
      <c r="M22" t="str">
        <v>Available</v>
      </c>
      <c r="N22" t="str">
        <f t="shared" si="0"/>
        <v>Complete</v>
      </c>
    </row>
    <row r="23" spans="1:14" x14ac:dyDescent="0.35">
      <c r="A23" t="s">
        <v>10</v>
      </c>
      <c r="B23">
        <v>2025</v>
      </c>
      <c r="C23" t="s">
        <v>21</v>
      </c>
      <c r="D23" t="s">
        <v>27</v>
      </c>
      <c r="E23" s="2">
        <v>1.23</v>
      </c>
      <c r="F23" s="2">
        <v>5.5</v>
      </c>
      <c r="G23" s="2">
        <v>0.64</v>
      </c>
      <c r="H23" s="1">
        <v>46241.25277777778</v>
      </c>
      <c r="I23" s="1">
        <v>45748</v>
      </c>
      <c r="J23" t="s">
        <v>13</v>
      </c>
      <c r="K23" t="str">
        <v>Available</v>
      </c>
      <c r="L23" t="str">
        <v>Available</v>
      </c>
      <c r="M23" t="str">
        <v>Available</v>
      </c>
      <c r="N23" t="str">
        <f t="shared" si="0"/>
        <v>Complete</v>
      </c>
    </row>
    <row r="24" spans="1:14" x14ac:dyDescent="0.35">
      <c r="A24" t="s">
        <v>10</v>
      </c>
      <c r="B24">
        <v>2025</v>
      </c>
      <c r="C24" t="s">
        <v>29</v>
      </c>
      <c r="D24" t="s">
        <v>27</v>
      </c>
      <c r="E24" s="2">
        <v>45.18</v>
      </c>
      <c r="F24" s="2">
        <v>231.88</v>
      </c>
      <c r="G24" s="2">
        <v>27.23</v>
      </c>
      <c r="H24" s="1">
        <v>46241.25277777778</v>
      </c>
      <c r="I24" s="1">
        <v>45748</v>
      </c>
      <c r="J24" t="s">
        <v>13</v>
      </c>
      <c r="K24" t="str">
        <v>Available</v>
      </c>
      <c r="L24" t="str">
        <v>Available</v>
      </c>
      <c r="M24" t="str">
        <v>Available</v>
      </c>
      <c r="N24" t="str">
        <f t="shared" si="0"/>
        <v>Complete</v>
      </c>
    </row>
    <row r="25" spans="1:14" x14ac:dyDescent="0.35">
      <c r="A25" t="s">
        <v>10</v>
      </c>
      <c r="B25">
        <v>2025</v>
      </c>
      <c r="C25" t="s">
        <v>23</v>
      </c>
      <c r="D25" t="s">
        <v>27</v>
      </c>
      <c r="E25" s="2">
        <v>230.01</v>
      </c>
      <c r="F25" s="2">
        <v>768.35</v>
      </c>
      <c r="G25" s="2">
        <v>89.42</v>
      </c>
      <c r="H25" s="1">
        <v>46241.25277777778</v>
      </c>
      <c r="I25" s="1">
        <v>45748</v>
      </c>
      <c r="J25" t="s">
        <v>13</v>
      </c>
      <c r="K25" t="str">
        <v>Available</v>
      </c>
      <c r="L25" t="str">
        <v>Available</v>
      </c>
      <c r="M25" t="str">
        <v>Available</v>
      </c>
      <c r="N25" t="str">
        <f t="shared" si="0"/>
        <v>Complete</v>
      </c>
    </row>
    <row r="26" spans="1:14" x14ac:dyDescent="0.35">
      <c r="A26" t="s">
        <v>10</v>
      </c>
      <c r="B26">
        <v>2025</v>
      </c>
      <c r="C26" t="s">
        <v>30</v>
      </c>
      <c r="D26" t="s">
        <v>27</v>
      </c>
      <c r="E26" s="2">
        <v>4039.99</v>
      </c>
      <c r="F26" s="2">
        <v>20485.509999999998</v>
      </c>
      <c r="G26" s="2">
        <v>2388.6799999999998</v>
      </c>
      <c r="H26" s="1">
        <v>46241.25277777778</v>
      </c>
      <c r="I26" s="1">
        <v>45748</v>
      </c>
      <c r="J26" t="s">
        <v>25</v>
      </c>
      <c r="K26" t="str">
        <v>Available</v>
      </c>
      <c r="L26" t="str">
        <v>Available</v>
      </c>
      <c r="M26" t="str">
        <v>Available</v>
      </c>
      <c r="N26" t="str">
        <f t="shared" si="0"/>
        <v>Complete</v>
      </c>
    </row>
    <row r="27" spans="1:14" x14ac:dyDescent="0.35">
      <c r="A27" t="s">
        <v>10</v>
      </c>
      <c r="B27">
        <v>2025</v>
      </c>
      <c r="C27" t="s">
        <v>31</v>
      </c>
      <c r="D27" t="s">
        <v>27</v>
      </c>
      <c r="E27" s="2">
        <v>20874.900000000001</v>
      </c>
      <c r="F27" s="2">
        <v>86799.34</v>
      </c>
      <c r="G27" s="2">
        <v>10154.19</v>
      </c>
      <c r="H27" s="1">
        <v>46241.25277777778</v>
      </c>
      <c r="I27" s="1">
        <v>45748</v>
      </c>
      <c r="J27" t="s">
        <v>25</v>
      </c>
      <c r="K27" t="str">
        <v>Available</v>
      </c>
      <c r="L27" t="str">
        <v>Available</v>
      </c>
      <c r="M27" t="str">
        <v>Available</v>
      </c>
      <c r="N27" t="str">
        <f t="shared" si="0"/>
        <v>Complete</v>
      </c>
    </row>
    <row r="28" spans="1:14" x14ac:dyDescent="0.35">
      <c r="A28" t="s">
        <v>32</v>
      </c>
      <c r="B28">
        <v>2025</v>
      </c>
      <c r="C28" t="s">
        <v>11</v>
      </c>
      <c r="D28" t="s">
        <v>12</v>
      </c>
      <c r="E28" s="2">
        <v>21328.55</v>
      </c>
      <c r="F28" s="2">
        <v>87778.82</v>
      </c>
      <c r="G28" s="2">
        <v>10284.02</v>
      </c>
      <c r="H28" s="1">
        <v>46241.25277777778</v>
      </c>
      <c r="I28" s="1">
        <v>45778</v>
      </c>
      <c r="J28" t="s">
        <v>13</v>
      </c>
      <c r="K28" t="str">
        <v>Available</v>
      </c>
      <c r="L28" t="str">
        <v>Available</v>
      </c>
      <c r="M28" t="str">
        <v>Available</v>
      </c>
      <c r="N28" t="str">
        <f t="shared" si="0"/>
        <v>Complete</v>
      </c>
    </row>
    <row r="29" spans="1:14" x14ac:dyDescent="0.35">
      <c r="A29" t="s">
        <v>32</v>
      </c>
      <c r="B29">
        <v>2025</v>
      </c>
      <c r="C29" t="s">
        <v>14</v>
      </c>
      <c r="D29" t="s">
        <v>12</v>
      </c>
      <c r="E29" s="2">
        <v>1685.09</v>
      </c>
      <c r="F29" s="2">
        <v>8492.18</v>
      </c>
      <c r="G29" s="2">
        <v>995.35</v>
      </c>
      <c r="H29" s="1">
        <v>46241.25277777778</v>
      </c>
      <c r="I29" s="1">
        <v>45778</v>
      </c>
      <c r="J29" t="s">
        <v>13</v>
      </c>
      <c r="K29" t="str">
        <v>Available</v>
      </c>
      <c r="L29" t="str">
        <v>Available</v>
      </c>
      <c r="M29" t="str">
        <v>Available</v>
      </c>
      <c r="N29" t="str">
        <f t="shared" si="0"/>
        <v>Complete</v>
      </c>
    </row>
    <row r="30" spans="1:14" x14ac:dyDescent="0.35">
      <c r="A30" t="s">
        <v>32</v>
      </c>
      <c r="B30">
        <v>2025</v>
      </c>
      <c r="C30" t="s">
        <v>15</v>
      </c>
      <c r="D30" t="s">
        <v>12</v>
      </c>
      <c r="H30" s="1">
        <v>46241.25277777778</v>
      </c>
      <c r="I30" s="1">
        <v>45778</v>
      </c>
      <c r="J30" t="s">
        <v>13</v>
      </c>
      <c r="K30" t="str">
        <v>Missing</v>
      </c>
      <c r="L30" t="str">
        <v>Missing</v>
      </c>
      <c r="M30" t="str">
        <v>Missing</v>
      </c>
      <c r="N30" t="str">
        <f t="shared" si="0"/>
        <v>Missing Data</v>
      </c>
    </row>
    <row r="31" spans="1:14" x14ac:dyDescent="0.35">
      <c r="A31" t="s">
        <v>32</v>
      </c>
      <c r="B31">
        <v>2025</v>
      </c>
      <c r="C31" t="s">
        <v>16</v>
      </c>
      <c r="D31" t="s">
        <v>12</v>
      </c>
      <c r="E31" s="2">
        <v>118.52</v>
      </c>
      <c r="F31" s="2">
        <v>571.62</v>
      </c>
      <c r="G31" s="2">
        <v>66.98</v>
      </c>
      <c r="H31" s="1">
        <v>46241.25277777778</v>
      </c>
      <c r="I31" s="1">
        <v>45778</v>
      </c>
      <c r="J31" t="s">
        <v>13</v>
      </c>
      <c r="K31" t="str">
        <v>Available</v>
      </c>
      <c r="L31" t="str">
        <v>Available</v>
      </c>
      <c r="M31" t="str">
        <v>Available</v>
      </c>
      <c r="N31" t="str">
        <f t="shared" si="0"/>
        <v>Complete</v>
      </c>
    </row>
    <row r="32" spans="1:14" x14ac:dyDescent="0.35">
      <c r="A32" t="s">
        <v>32</v>
      </c>
      <c r="B32">
        <v>2025</v>
      </c>
      <c r="C32" t="s">
        <v>17</v>
      </c>
      <c r="D32" t="s">
        <v>12</v>
      </c>
      <c r="E32" s="2">
        <v>0</v>
      </c>
      <c r="F32" s="2">
        <v>0</v>
      </c>
      <c r="H32" s="1">
        <v>46241.25277777778</v>
      </c>
      <c r="I32" s="1">
        <v>45778</v>
      </c>
      <c r="J32" t="s">
        <v>13</v>
      </c>
      <c r="K32" t="str">
        <v>Available</v>
      </c>
      <c r="L32" t="str">
        <v>Available</v>
      </c>
      <c r="M32" t="str">
        <v>Missing</v>
      </c>
      <c r="N32" t="str">
        <f t="shared" si="0"/>
        <v>Missing Data</v>
      </c>
    </row>
    <row r="33" spans="1:14" x14ac:dyDescent="0.35">
      <c r="A33" t="s">
        <v>32</v>
      </c>
      <c r="B33">
        <v>2025</v>
      </c>
      <c r="C33" t="s">
        <v>18</v>
      </c>
      <c r="D33" t="s">
        <v>12</v>
      </c>
      <c r="E33" s="2">
        <v>2.16</v>
      </c>
      <c r="F33" s="2">
        <v>19.86</v>
      </c>
      <c r="G33" s="2">
        <v>2.33</v>
      </c>
      <c r="H33" s="1">
        <v>46241.25277777778</v>
      </c>
      <c r="I33" s="1">
        <v>45778</v>
      </c>
      <c r="J33" t="s">
        <v>13</v>
      </c>
      <c r="K33" t="str">
        <v>Available</v>
      </c>
      <c r="L33" t="str">
        <v>Available</v>
      </c>
      <c r="M33" t="str">
        <v>Available</v>
      </c>
      <c r="N33" t="str">
        <f t="shared" si="0"/>
        <v>Complete</v>
      </c>
    </row>
    <row r="34" spans="1:14" x14ac:dyDescent="0.35">
      <c r="A34" t="s">
        <v>32</v>
      </c>
      <c r="B34">
        <v>2025</v>
      </c>
      <c r="C34" t="s">
        <v>19</v>
      </c>
      <c r="D34" t="s">
        <v>12</v>
      </c>
      <c r="E34" s="2">
        <v>242.51</v>
      </c>
      <c r="F34" s="2">
        <v>1782.16</v>
      </c>
      <c r="G34" s="2">
        <v>209.15</v>
      </c>
      <c r="H34" s="1">
        <v>46241.25277777778</v>
      </c>
      <c r="I34" s="1">
        <v>45778</v>
      </c>
      <c r="J34" t="s">
        <v>13</v>
      </c>
      <c r="K34" t="str">
        <v>Available</v>
      </c>
      <c r="L34" t="str">
        <v>Available</v>
      </c>
      <c r="M34" t="str">
        <v>Available</v>
      </c>
      <c r="N34" t="str">
        <f t="shared" si="0"/>
        <v>Complete</v>
      </c>
    </row>
    <row r="35" spans="1:14" x14ac:dyDescent="0.35">
      <c r="A35" t="s">
        <v>32</v>
      </c>
      <c r="B35">
        <v>2025</v>
      </c>
      <c r="C35" t="s">
        <v>20</v>
      </c>
      <c r="D35" t="s">
        <v>12</v>
      </c>
      <c r="E35" s="2">
        <v>505.49</v>
      </c>
      <c r="F35" s="2">
        <v>1749.04</v>
      </c>
      <c r="G35" s="2">
        <v>204.53</v>
      </c>
      <c r="H35" s="1">
        <v>46241.25277777778</v>
      </c>
      <c r="I35" s="1">
        <v>45778</v>
      </c>
      <c r="J35" t="s">
        <v>13</v>
      </c>
      <c r="K35" t="str">
        <v>Available</v>
      </c>
      <c r="L35" t="str">
        <v>Available</v>
      </c>
      <c r="M35" t="str">
        <v>Available</v>
      </c>
      <c r="N35" t="str">
        <f t="shared" si="0"/>
        <v>Complete</v>
      </c>
    </row>
    <row r="36" spans="1:14" x14ac:dyDescent="0.35">
      <c r="A36" t="s">
        <v>32</v>
      </c>
      <c r="B36">
        <v>2025</v>
      </c>
      <c r="C36" t="s">
        <v>21</v>
      </c>
      <c r="D36" t="s">
        <v>12</v>
      </c>
      <c r="E36" s="2">
        <v>289.94</v>
      </c>
      <c r="F36" s="2">
        <v>995.17</v>
      </c>
      <c r="G36" s="2">
        <v>116.82</v>
      </c>
      <c r="H36" s="1">
        <v>46241.25277777778</v>
      </c>
      <c r="I36" s="1">
        <v>45778</v>
      </c>
      <c r="J36" t="s">
        <v>13</v>
      </c>
      <c r="K36" t="str">
        <v>Available</v>
      </c>
      <c r="L36" t="str">
        <v>Available</v>
      </c>
      <c r="M36" t="str">
        <v>Available</v>
      </c>
      <c r="N36" t="str">
        <f t="shared" si="0"/>
        <v>Complete</v>
      </c>
    </row>
    <row r="37" spans="1:14" x14ac:dyDescent="0.35">
      <c r="A37" t="s">
        <v>32</v>
      </c>
      <c r="B37">
        <v>2025</v>
      </c>
      <c r="C37" t="s">
        <v>22</v>
      </c>
      <c r="D37" t="s">
        <v>12</v>
      </c>
      <c r="E37" s="2">
        <v>1073.28</v>
      </c>
      <c r="F37" s="2">
        <v>1392.43</v>
      </c>
      <c r="G37" s="2">
        <v>163.44999999999999</v>
      </c>
      <c r="H37" s="1">
        <v>46241.25277777778</v>
      </c>
      <c r="I37" s="1">
        <v>45778</v>
      </c>
      <c r="J37" t="s">
        <v>13</v>
      </c>
      <c r="K37" t="str">
        <v>Available</v>
      </c>
      <c r="L37" t="str">
        <v>Available</v>
      </c>
      <c r="M37" t="str">
        <v>Available</v>
      </c>
      <c r="N37" t="str">
        <f t="shared" si="0"/>
        <v>Complete</v>
      </c>
    </row>
    <row r="38" spans="1:14" x14ac:dyDescent="0.35">
      <c r="A38" t="s">
        <v>32</v>
      </c>
      <c r="B38">
        <v>2025</v>
      </c>
      <c r="C38" t="s">
        <v>23</v>
      </c>
      <c r="D38" t="s">
        <v>12</v>
      </c>
      <c r="E38" s="2">
        <v>273.66000000000003</v>
      </c>
      <c r="F38" s="2">
        <v>1296.28</v>
      </c>
      <c r="G38" s="2">
        <v>152.36000000000001</v>
      </c>
      <c r="H38" s="1">
        <v>46241.25277777778</v>
      </c>
      <c r="I38" s="1">
        <v>45778</v>
      </c>
      <c r="J38" t="s">
        <v>13</v>
      </c>
      <c r="K38" t="str">
        <v>Available</v>
      </c>
      <c r="L38" t="str">
        <v>Available</v>
      </c>
      <c r="M38" t="str">
        <v>Available</v>
      </c>
      <c r="N38" t="str">
        <f t="shared" si="0"/>
        <v>Complete</v>
      </c>
    </row>
    <row r="39" spans="1:14" x14ac:dyDescent="0.35">
      <c r="A39" t="s">
        <v>32</v>
      </c>
      <c r="B39">
        <v>2025</v>
      </c>
      <c r="C39" t="s">
        <v>24</v>
      </c>
      <c r="D39" t="s">
        <v>12</v>
      </c>
      <c r="E39" s="2">
        <v>4190.66</v>
      </c>
      <c r="F39" s="2">
        <v>16298.75</v>
      </c>
      <c r="G39" s="2">
        <v>1910.98</v>
      </c>
      <c r="H39" s="1">
        <v>46241.25277777778</v>
      </c>
      <c r="I39" s="1">
        <v>45778</v>
      </c>
      <c r="J39" t="s">
        <v>25</v>
      </c>
      <c r="K39" t="str">
        <v>Available</v>
      </c>
      <c r="L39" t="str">
        <v>Available</v>
      </c>
      <c r="M39" t="str">
        <v>Available</v>
      </c>
      <c r="N39" t="str">
        <f t="shared" si="0"/>
        <v>Complete</v>
      </c>
    </row>
    <row r="40" spans="1:14" x14ac:dyDescent="0.35">
      <c r="A40" t="s">
        <v>32</v>
      </c>
      <c r="B40">
        <v>2025</v>
      </c>
      <c r="C40" t="s">
        <v>26</v>
      </c>
      <c r="D40" t="s">
        <v>12</v>
      </c>
      <c r="E40" s="2">
        <v>25519.21</v>
      </c>
      <c r="F40" s="2">
        <v>104077.57</v>
      </c>
      <c r="G40" s="2">
        <v>12194.99</v>
      </c>
      <c r="H40" s="1">
        <v>46241.25277777778</v>
      </c>
      <c r="I40" s="1">
        <v>45778</v>
      </c>
      <c r="J40" t="s">
        <v>25</v>
      </c>
      <c r="K40" t="str">
        <v>Available</v>
      </c>
      <c r="L40" t="str">
        <v>Available</v>
      </c>
      <c r="M40" t="str">
        <v>Available</v>
      </c>
      <c r="N40" t="str">
        <f t="shared" si="0"/>
        <v>Complete</v>
      </c>
    </row>
    <row r="41" spans="1:14" x14ac:dyDescent="0.35">
      <c r="A41" t="s">
        <v>32</v>
      </c>
      <c r="B41">
        <v>2025</v>
      </c>
      <c r="C41" t="s">
        <v>14</v>
      </c>
      <c r="D41" t="s">
        <v>27</v>
      </c>
      <c r="E41" s="2">
        <v>52.02</v>
      </c>
      <c r="F41" s="2">
        <v>338.55</v>
      </c>
      <c r="G41" s="2">
        <v>39.74</v>
      </c>
      <c r="H41" s="1">
        <v>46241.25277777778</v>
      </c>
      <c r="I41" s="1">
        <v>45778</v>
      </c>
      <c r="J41" t="s">
        <v>13</v>
      </c>
      <c r="K41" t="str">
        <v>Available</v>
      </c>
      <c r="L41" t="str">
        <v>Available</v>
      </c>
      <c r="M41" t="str">
        <v>Available</v>
      </c>
      <c r="N41" t="str">
        <f t="shared" si="0"/>
        <v>Complete</v>
      </c>
    </row>
    <row r="42" spans="1:14" x14ac:dyDescent="0.35">
      <c r="A42" t="s">
        <v>32</v>
      </c>
      <c r="B42">
        <v>2025</v>
      </c>
      <c r="C42" t="s">
        <v>15</v>
      </c>
      <c r="D42" t="s">
        <v>27</v>
      </c>
      <c r="E42" s="2">
        <v>1452.49</v>
      </c>
      <c r="F42" s="2">
        <v>8105</v>
      </c>
      <c r="G42" s="2">
        <v>949.74</v>
      </c>
      <c r="H42" s="1">
        <v>46241.25277777778</v>
      </c>
      <c r="I42" s="1">
        <v>45778</v>
      </c>
      <c r="J42" t="s">
        <v>13</v>
      </c>
      <c r="K42" t="str">
        <v>Available</v>
      </c>
      <c r="L42" t="str">
        <v>Available</v>
      </c>
      <c r="M42" t="str">
        <v>Available</v>
      </c>
      <c r="N42" t="str">
        <f t="shared" si="0"/>
        <v>Complete</v>
      </c>
    </row>
    <row r="43" spans="1:14" x14ac:dyDescent="0.35">
      <c r="A43" t="s">
        <v>32</v>
      </c>
      <c r="B43">
        <v>2025</v>
      </c>
      <c r="C43" t="s">
        <v>16</v>
      </c>
      <c r="D43" t="s">
        <v>27</v>
      </c>
      <c r="E43" s="2">
        <v>718.28</v>
      </c>
      <c r="F43" s="2">
        <v>3388.24</v>
      </c>
      <c r="G43" s="2">
        <v>397.18</v>
      </c>
      <c r="H43" s="1">
        <v>46241.25277777778</v>
      </c>
      <c r="I43" s="1">
        <v>45778</v>
      </c>
      <c r="J43" t="s">
        <v>13</v>
      </c>
      <c r="K43" t="str">
        <v>Available</v>
      </c>
      <c r="L43" t="str">
        <v>Available</v>
      </c>
      <c r="M43" t="str">
        <v>Available</v>
      </c>
      <c r="N43" t="str">
        <f t="shared" si="0"/>
        <v>Complete</v>
      </c>
    </row>
    <row r="44" spans="1:14" x14ac:dyDescent="0.35">
      <c r="A44" t="s">
        <v>32</v>
      </c>
      <c r="B44">
        <v>2025</v>
      </c>
      <c r="C44" t="s">
        <v>17</v>
      </c>
      <c r="D44" t="s">
        <v>27</v>
      </c>
      <c r="E44" s="2">
        <v>752.08</v>
      </c>
      <c r="F44" s="2">
        <v>3833.57</v>
      </c>
      <c r="G44" s="2">
        <v>449.52</v>
      </c>
      <c r="H44" s="1">
        <v>46241.25277777778</v>
      </c>
      <c r="I44" s="1">
        <v>45778</v>
      </c>
      <c r="J44" t="s">
        <v>13</v>
      </c>
      <c r="K44" t="str">
        <v>Available</v>
      </c>
      <c r="L44" t="str">
        <v>Available</v>
      </c>
      <c r="M44" t="str">
        <v>Available</v>
      </c>
      <c r="N44" t="str">
        <f t="shared" si="0"/>
        <v>Complete</v>
      </c>
    </row>
    <row r="45" spans="1:14" x14ac:dyDescent="0.35">
      <c r="A45" t="s">
        <v>32</v>
      </c>
      <c r="B45">
        <v>2025</v>
      </c>
      <c r="C45" t="s">
        <v>28</v>
      </c>
      <c r="D45" t="s">
        <v>27</v>
      </c>
      <c r="E45" s="2">
        <v>1.59</v>
      </c>
      <c r="F45" s="2">
        <v>9.83</v>
      </c>
      <c r="G45" s="2">
        <v>1.1599999999999999</v>
      </c>
      <c r="H45" s="1">
        <v>46241.25277777778</v>
      </c>
      <c r="I45" s="1">
        <v>45778</v>
      </c>
      <c r="J45" t="s">
        <v>13</v>
      </c>
      <c r="K45" t="str">
        <v>Available</v>
      </c>
      <c r="L45" t="str">
        <v>Available</v>
      </c>
      <c r="M45" t="str">
        <v>Available</v>
      </c>
      <c r="N45" t="str">
        <f t="shared" si="0"/>
        <v>Complete</v>
      </c>
    </row>
    <row r="46" spans="1:14" x14ac:dyDescent="0.35">
      <c r="A46" t="s">
        <v>32</v>
      </c>
      <c r="B46">
        <v>2025</v>
      </c>
      <c r="C46" t="s">
        <v>18</v>
      </c>
      <c r="D46" t="s">
        <v>27</v>
      </c>
      <c r="E46" s="2">
        <v>2347.98</v>
      </c>
      <c r="F46" s="2">
        <v>11580.93</v>
      </c>
      <c r="G46" s="2">
        <v>1357.7</v>
      </c>
      <c r="H46" s="1">
        <v>46241.25277777778</v>
      </c>
      <c r="I46" s="1">
        <v>45778</v>
      </c>
      <c r="J46" t="s">
        <v>13</v>
      </c>
      <c r="K46" t="str">
        <v>Available</v>
      </c>
      <c r="L46" t="str">
        <v>Available</v>
      </c>
      <c r="M46" t="str">
        <v>Available</v>
      </c>
      <c r="N46" t="str">
        <f t="shared" si="0"/>
        <v>Complete</v>
      </c>
    </row>
    <row r="47" spans="1:14" x14ac:dyDescent="0.35">
      <c r="A47" t="s">
        <v>32</v>
      </c>
      <c r="B47">
        <v>2025</v>
      </c>
      <c r="C47" t="s">
        <v>19</v>
      </c>
      <c r="D47" t="s">
        <v>27</v>
      </c>
      <c r="E47" s="2">
        <v>0.43</v>
      </c>
      <c r="F47" s="2">
        <v>6.73</v>
      </c>
      <c r="G47" s="2">
        <v>0.76</v>
      </c>
      <c r="H47" s="1">
        <v>46241.25277777778</v>
      </c>
      <c r="I47" s="1">
        <v>45778</v>
      </c>
      <c r="J47" t="s">
        <v>13</v>
      </c>
      <c r="K47" t="str">
        <v>Available</v>
      </c>
      <c r="L47" t="str">
        <v>Available</v>
      </c>
      <c r="M47" t="str">
        <v>Available</v>
      </c>
      <c r="N47" t="str">
        <f t="shared" si="0"/>
        <v>Complete</v>
      </c>
    </row>
    <row r="48" spans="1:14" x14ac:dyDescent="0.35">
      <c r="A48" t="s">
        <v>32</v>
      </c>
      <c r="B48">
        <v>2025</v>
      </c>
      <c r="C48" t="s">
        <v>20</v>
      </c>
      <c r="D48" t="s">
        <v>27</v>
      </c>
      <c r="E48" s="2">
        <v>172.07</v>
      </c>
      <c r="F48" s="2">
        <v>613.63</v>
      </c>
      <c r="G48" s="2">
        <v>71.349999999999994</v>
      </c>
      <c r="H48" s="1">
        <v>46241.25277777778</v>
      </c>
      <c r="I48" s="1">
        <v>45778</v>
      </c>
      <c r="J48" t="s">
        <v>13</v>
      </c>
      <c r="K48" t="str">
        <v>Available</v>
      </c>
      <c r="L48" t="str">
        <v>Available</v>
      </c>
      <c r="M48" t="str">
        <v>Available</v>
      </c>
      <c r="N48" t="str">
        <f t="shared" si="0"/>
        <v>Complete</v>
      </c>
    </row>
    <row r="49" spans="1:14" x14ac:dyDescent="0.35">
      <c r="A49" t="s">
        <v>32</v>
      </c>
      <c r="B49">
        <v>2025</v>
      </c>
      <c r="C49" t="s">
        <v>21</v>
      </c>
      <c r="D49" t="s">
        <v>27</v>
      </c>
      <c r="E49" s="2">
        <v>4.03</v>
      </c>
      <c r="F49" s="2">
        <v>19.5</v>
      </c>
      <c r="G49" s="2">
        <v>2.29</v>
      </c>
      <c r="H49" s="1">
        <v>46241.25277777778</v>
      </c>
      <c r="I49" s="1">
        <v>45778</v>
      </c>
      <c r="J49" t="s">
        <v>13</v>
      </c>
      <c r="K49" t="str">
        <v>Available</v>
      </c>
      <c r="L49" t="str">
        <v>Available</v>
      </c>
      <c r="M49" t="str">
        <v>Available</v>
      </c>
      <c r="N49" t="str">
        <f t="shared" si="0"/>
        <v>Complete</v>
      </c>
    </row>
    <row r="50" spans="1:14" x14ac:dyDescent="0.35">
      <c r="A50" t="s">
        <v>32</v>
      </c>
      <c r="B50">
        <v>2025</v>
      </c>
      <c r="C50" t="s">
        <v>29</v>
      </c>
      <c r="D50" t="s">
        <v>27</v>
      </c>
      <c r="E50" s="2">
        <v>28.33</v>
      </c>
      <c r="F50" s="2">
        <v>151.04</v>
      </c>
      <c r="G50" s="2">
        <v>17.63</v>
      </c>
      <c r="H50" s="1">
        <v>46241.25277777778</v>
      </c>
      <c r="I50" s="1">
        <v>45778</v>
      </c>
      <c r="J50" t="s">
        <v>13</v>
      </c>
      <c r="K50" t="str">
        <v>Available</v>
      </c>
      <c r="L50" t="str">
        <v>Available</v>
      </c>
      <c r="M50" t="str">
        <v>Available</v>
      </c>
      <c r="N50" t="str">
        <f t="shared" si="0"/>
        <v>Complete</v>
      </c>
    </row>
    <row r="51" spans="1:14" x14ac:dyDescent="0.35">
      <c r="A51" t="s">
        <v>32</v>
      </c>
      <c r="B51">
        <v>2025</v>
      </c>
      <c r="C51" t="s">
        <v>23</v>
      </c>
      <c r="D51" t="s">
        <v>27</v>
      </c>
      <c r="E51" s="2">
        <v>100.36</v>
      </c>
      <c r="F51" s="2">
        <v>437.37</v>
      </c>
      <c r="G51" s="2">
        <v>51.84</v>
      </c>
      <c r="H51" s="1">
        <v>46241.25277777778</v>
      </c>
      <c r="I51" s="1">
        <v>45778</v>
      </c>
      <c r="J51" t="s">
        <v>13</v>
      </c>
      <c r="K51" t="str">
        <v>Available</v>
      </c>
      <c r="L51" t="str">
        <v>Available</v>
      </c>
      <c r="M51" t="str">
        <v>Available</v>
      </c>
      <c r="N51" t="str">
        <f t="shared" si="0"/>
        <v>Complete</v>
      </c>
    </row>
    <row r="52" spans="1:14" x14ac:dyDescent="0.35">
      <c r="A52" t="s">
        <v>32</v>
      </c>
      <c r="B52">
        <v>2025</v>
      </c>
      <c r="C52" t="s">
        <v>30</v>
      </c>
      <c r="D52" t="s">
        <v>27</v>
      </c>
      <c r="E52" s="2">
        <v>5629.65</v>
      </c>
      <c r="F52" s="2">
        <v>28484.38</v>
      </c>
      <c r="G52" s="2">
        <v>3338.92</v>
      </c>
      <c r="H52" s="1">
        <v>46241.25277777778</v>
      </c>
      <c r="I52" s="1">
        <v>45778</v>
      </c>
      <c r="J52" t="s">
        <v>25</v>
      </c>
      <c r="K52" t="str">
        <v>Available</v>
      </c>
      <c r="L52" t="str">
        <v>Available</v>
      </c>
      <c r="M52" t="str">
        <v>Available</v>
      </c>
      <c r="N52" t="str">
        <f t="shared" si="0"/>
        <v>Complete</v>
      </c>
    </row>
    <row r="53" spans="1:14" x14ac:dyDescent="0.35">
      <c r="A53" t="s">
        <v>32</v>
      </c>
      <c r="B53">
        <v>2025</v>
      </c>
      <c r="C53" t="s">
        <v>31</v>
      </c>
      <c r="D53" t="s">
        <v>27</v>
      </c>
      <c r="E53" s="2">
        <v>19889.560000000001</v>
      </c>
      <c r="F53" s="2">
        <v>75593.179999999993</v>
      </c>
      <c r="G53" s="2">
        <v>8856.07</v>
      </c>
      <c r="H53" s="1">
        <v>46241.25277777778</v>
      </c>
      <c r="I53" s="1">
        <v>45778</v>
      </c>
      <c r="J53" t="s">
        <v>25</v>
      </c>
      <c r="K53" t="str">
        <v>Available</v>
      </c>
      <c r="L53" t="str">
        <v>Available</v>
      </c>
      <c r="M53" t="str">
        <v>Available</v>
      </c>
      <c r="N53" t="str">
        <f t="shared" si="0"/>
        <v>Complete</v>
      </c>
    </row>
    <row r="54" spans="1:14" x14ac:dyDescent="0.35">
      <c r="A54" t="s">
        <v>33</v>
      </c>
      <c r="B54">
        <v>2025</v>
      </c>
      <c r="C54" t="s">
        <v>11</v>
      </c>
      <c r="D54" t="s">
        <v>12</v>
      </c>
      <c r="E54" s="2">
        <v>20314.349999999999</v>
      </c>
      <c r="F54" s="2">
        <v>85229.92</v>
      </c>
      <c r="G54" s="2">
        <v>9903.8700000000008</v>
      </c>
      <c r="H54" s="1">
        <v>46241.25277777778</v>
      </c>
      <c r="I54" s="1">
        <v>45809</v>
      </c>
      <c r="J54" t="s">
        <v>13</v>
      </c>
      <c r="K54" t="str">
        <v>Available</v>
      </c>
      <c r="L54" t="str">
        <v>Available</v>
      </c>
      <c r="M54" t="str">
        <v>Available</v>
      </c>
      <c r="N54" t="str">
        <f t="shared" si="0"/>
        <v>Complete</v>
      </c>
    </row>
    <row r="55" spans="1:14" x14ac:dyDescent="0.35">
      <c r="A55" t="s">
        <v>33</v>
      </c>
      <c r="B55">
        <v>2025</v>
      </c>
      <c r="C55" t="s">
        <v>14</v>
      </c>
      <c r="D55" t="s">
        <v>12</v>
      </c>
      <c r="E55" s="2">
        <v>1887.69</v>
      </c>
      <c r="F55" s="2">
        <v>9361.8799999999992</v>
      </c>
      <c r="G55" s="2">
        <v>1096.58</v>
      </c>
      <c r="H55" s="1">
        <v>46241.25277777778</v>
      </c>
      <c r="I55" s="1">
        <v>45809</v>
      </c>
      <c r="J55" t="s">
        <v>13</v>
      </c>
      <c r="K55" t="str">
        <v>Available</v>
      </c>
      <c r="L55" t="str">
        <v>Available</v>
      </c>
      <c r="M55" t="str">
        <v>Available</v>
      </c>
      <c r="N55" t="str">
        <f t="shared" si="0"/>
        <v>Complete</v>
      </c>
    </row>
    <row r="56" spans="1:14" x14ac:dyDescent="0.35">
      <c r="A56" t="s">
        <v>33</v>
      </c>
      <c r="B56">
        <v>2025</v>
      </c>
      <c r="C56" t="s">
        <v>15</v>
      </c>
      <c r="D56" t="s">
        <v>12</v>
      </c>
      <c r="H56" s="1">
        <v>46241.25277777778</v>
      </c>
      <c r="I56" s="1">
        <v>45809</v>
      </c>
      <c r="J56" t="s">
        <v>13</v>
      </c>
      <c r="K56" t="str">
        <v>Missing</v>
      </c>
      <c r="L56" t="str">
        <v>Missing</v>
      </c>
      <c r="M56" t="str">
        <v>Missing</v>
      </c>
      <c r="N56" t="str">
        <f t="shared" si="0"/>
        <v>Missing Data</v>
      </c>
    </row>
    <row r="57" spans="1:14" x14ac:dyDescent="0.35">
      <c r="A57" t="s">
        <v>33</v>
      </c>
      <c r="B57">
        <v>2025</v>
      </c>
      <c r="C57" t="s">
        <v>16</v>
      </c>
      <c r="D57" t="s">
        <v>12</v>
      </c>
      <c r="E57" s="2">
        <v>33.47</v>
      </c>
      <c r="F57" s="2">
        <v>154.32</v>
      </c>
      <c r="G57" s="2">
        <v>18</v>
      </c>
      <c r="H57" s="1">
        <v>46241.25277777778</v>
      </c>
      <c r="I57" s="1">
        <v>45809</v>
      </c>
      <c r="J57" t="s">
        <v>13</v>
      </c>
      <c r="K57" t="str">
        <v>Available</v>
      </c>
      <c r="L57" t="str">
        <v>Available</v>
      </c>
      <c r="M57" t="str">
        <v>Available</v>
      </c>
      <c r="N57" t="str">
        <f t="shared" si="0"/>
        <v>Complete</v>
      </c>
    </row>
    <row r="58" spans="1:14" x14ac:dyDescent="0.35">
      <c r="A58" t="s">
        <v>33</v>
      </c>
      <c r="B58">
        <v>2025</v>
      </c>
      <c r="C58" t="s">
        <v>17</v>
      </c>
      <c r="D58" t="s">
        <v>12</v>
      </c>
      <c r="E58" s="2">
        <v>0</v>
      </c>
      <c r="F58" s="2">
        <v>0</v>
      </c>
      <c r="G58" s="2">
        <v>0</v>
      </c>
      <c r="H58" s="1">
        <v>46241.25277777778</v>
      </c>
      <c r="I58" s="1">
        <v>45809</v>
      </c>
      <c r="J58" t="s">
        <v>13</v>
      </c>
      <c r="K58" t="str">
        <v>Available</v>
      </c>
      <c r="L58" t="str">
        <v>Available</v>
      </c>
      <c r="M58" t="str">
        <v>Available</v>
      </c>
      <c r="N58" t="str">
        <f t="shared" si="0"/>
        <v>Complete</v>
      </c>
    </row>
    <row r="59" spans="1:14" x14ac:dyDescent="0.35">
      <c r="A59" t="s">
        <v>33</v>
      </c>
      <c r="B59">
        <v>2025</v>
      </c>
      <c r="C59" t="s">
        <v>18</v>
      </c>
      <c r="D59" t="s">
        <v>12</v>
      </c>
      <c r="E59" s="2">
        <v>2.17</v>
      </c>
      <c r="F59" s="2">
        <v>13</v>
      </c>
      <c r="G59" s="2">
        <v>1.51</v>
      </c>
      <c r="H59" s="1">
        <v>46241.25277777778</v>
      </c>
      <c r="I59" s="1">
        <v>45809</v>
      </c>
      <c r="J59" t="s">
        <v>13</v>
      </c>
      <c r="K59" t="str">
        <v>Available</v>
      </c>
      <c r="L59" t="str">
        <v>Available</v>
      </c>
      <c r="M59" t="str">
        <v>Available</v>
      </c>
      <c r="N59" t="str">
        <f t="shared" si="0"/>
        <v>Complete</v>
      </c>
    </row>
    <row r="60" spans="1:14" x14ac:dyDescent="0.35">
      <c r="A60" t="s">
        <v>33</v>
      </c>
      <c r="B60">
        <v>2025</v>
      </c>
      <c r="C60" t="s">
        <v>19</v>
      </c>
      <c r="D60" t="s">
        <v>12</v>
      </c>
      <c r="E60" s="2">
        <v>259.13</v>
      </c>
      <c r="F60" s="2">
        <v>1901.95</v>
      </c>
      <c r="G60" s="2">
        <v>221.49</v>
      </c>
      <c r="H60" s="1">
        <v>46241.25277777778</v>
      </c>
      <c r="I60" s="1">
        <v>45809</v>
      </c>
      <c r="J60" t="s">
        <v>13</v>
      </c>
      <c r="K60" t="str">
        <v>Available</v>
      </c>
      <c r="L60" t="str">
        <v>Available</v>
      </c>
      <c r="M60" t="str">
        <v>Available</v>
      </c>
      <c r="N60" t="str">
        <f t="shared" si="0"/>
        <v>Complete</v>
      </c>
    </row>
    <row r="61" spans="1:14" x14ac:dyDescent="0.35">
      <c r="A61" t="s">
        <v>33</v>
      </c>
      <c r="B61">
        <v>2025</v>
      </c>
      <c r="C61" t="s">
        <v>20</v>
      </c>
      <c r="D61" t="s">
        <v>12</v>
      </c>
      <c r="E61" s="2">
        <v>536.4</v>
      </c>
      <c r="F61" s="2">
        <v>1950.94</v>
      </c>
      <c r="G61" s="2">
        <v>227.02</v>
      </c>
      <c r="H61" s="1">
        <v>46241.25277777778</v>
      </c>
      <c r="I61" s="1">
        <v>45809</v>
      </c>
      <c r="J61" t="s">
        <v>13</v>
      </c>
      <c r="K61" t="str">
        <v>Available</v>
      </c>
      <c r="L61" t="str">
        <v>Available</v>
      </c>
      <c r="M61" t="str">
        <v>Available</v>
      </c>
      <c r="N61" t="str">
        <f t="shared" si="0"/>
        <v>Complete</v>
      </c>
    </row>
    <row r="62" spans="1:14" x14ac:dyDescent="0.35">
      <c r="A62" t="s">
        <v>33</v>
      </c>
      <c r="B62">
        <v>2025</v>
      </c>
      <c r="C62" t="s">
        <v>21</v>
      </c>
      <c r="D62" t="s">
        <v>12</v>
      </c>
      <c r="E62" s="2">
        <v>248.94</v>
      </c>
      <c r="F62" s="2">
        <v>852.09</v>
      </c>
      <c r="G62" s="2">
        <v>99.19</v>
      </c>
      <c r="H62" s="1">
        <v>46241.25277777778</v>
      </c>
      <c r="I62" s="1">
        <v>45809</v>
      </c>
      <c r="J62" t="s">
        <v>13</v>
      </c>
      <c r="K62" t="str">
        <v>Available</v>
      </c>
      <c r="L62" t="str">
        <v>Available</v>
      </c>
      <c r="M62" t="str">
        <v>Available</v>
      </c>
      <c r="N62" t="str">
        <f t="shared" si="0"/>
        <v>Complete</v>
      </c>
    </row>
    <row r="63" spans="1:14" x14ac:dyDescent="0.35">
      <c r="A63" t="s">
        <v>33</v>
      </c>
      <c r="B63">
        <v>2025</v>
      </c>
      <c r="C63" t="s">
        <v>22</v>
      </c>
      <c r="D63" t="s">
        <v>12</v>
      </c>
      <c r="E63" s="2">
        <v>773.02</v>
      </c>
      <c r="F63" s="2">
        <v>945.04</v>
      </c>
      <c r="G63" s="2">
        <v>110.01</v>
      </c>
      <c r="H63" s="1">
        <v>46241.25277777778</v>
      </c>
      <c r="I63" s="1">
        <v>45809</v>
      </c>
      <c r="J63" t="s">
        <v>13</v>
      </c>
      <c r="K63" t="str">
        <v>Available</v>
      </c>
      <c r="L63" t="str">
        <v>Available</v>
      </c>
      <c r="M63" t="str">
        <v>Available</v>
      </c>
      <c r="N63" t="str">
        <f t="shared" si="0"/>
        <v>Complete</v>
      </c>
    </row>
    <row r="64" spans="1:14" x14ac:dyDescent="0.35">
      <c r="A64" t="s">
        <v>33</v>
      </c>
      <c r="B64">
        <v>2025</v>
      </c>
      <c r="C64" t="s">
        <v>23</v>
      </c>
      <c r="D64" t="s">
        <v>12</v>
      </c>
      <c r="E64" s="2">
        <v>321.74</v>
      </c>
      <c r="F64" s="2">
        <v>1608.33</v>
      </c>
      <c r="G64" s="2">
        <v>187.36</v>
      </c>
      <c r="H64" s="1">
        <v>46241.25277777778</v>
      </c>
      <c r="I64" s="1">
        <v>45809</v>
      </c>
      <c r="J64" t="s">
        <v>13</v>
      </c>
      <c r="K64" t="str">
        <v>Available</v>
      </c>
      <c r="L64" t="str">
        <v>Available</v>
      </c>
      <c r="M64" t="str">
        <v>Available</v>
      </c>
      <c r="N64" t="str">
        <f t="shared" si="0"/>
        <v>Complete</v>
      </c>
    </row>
    <row r="65" spans="1:14" x14ac:dyDescent="0.35">
      <c r="A65" t="s">
        <v>33</v>
      </c>
      <c r="B65">
        <v>2025</v>
      </c>
      <c r="C65" t="s">
        <v>24</v>
      </c>
      <c r="D65" t="s">
        <v>12</v>
      </c>
      <c r="E65" s="2">
        <v>4062.55</v>
      </c>
      <c r="F65" s="2">
        <v>16787.560000000001</v>
      </c>
      <c r="G65" s="2">
        <v>1961.17</v>
      </c>
      <c r="H65" s="1">
        <v>46241.25277777778</v>
      </c>
      <c r="I65" s="1">
        <v>45809</v>
      </c>
      <c r="J65" t="s">
        <v>25</v>
      </c>
      <c r="K65" t="str">
        <v>Available</v>
      </c>
      <c r="L65" t="str">
        <v>Available</v>
      </c>
      <c r="M65" t="str">
        <v>Available</v>
      </c>
      <c r="N65" t="str">
        <f t="shared" si="0"/>
        <v>Complete</v>
      </c>
    </row>
    <row r="66" spans="1:14" x14ac:dyDescent="0.35">
      <c r="A66" t="s">
        <v>33</v>
      </c>
      <c r="B66">
        <v>2025</v>
      </c>
      <c r="C66" t="s">
        <v>26</v>
      </c>
      <c r="D66" t="s">
        <v>12</v>
      </c>
      <c r="E66" s="2">
        <v>24376.9</v>
      </c>
      <c r="F66" s="2">
        <v>102017.48</v>
      </c>
      <c r="G66" s="2">
        <v>11865.04</v>
      </c>
      <c r="H66" s="1">
        <v>46241.25277777778</v>
      </c>
      <c r="I66" s="1">
        <v>45809</v>
      </c>
      <c r="J66" t="s">
        <v>25</v>
      </c>
      <c r="K66" t="str">
        <v>Available</v>
      </c>
      <c r="L66" t="str">
        <v>Available</v>
      </c>
      <c r="M66" t="str">
        <v>Available</v>
      </c>
      <c r="N66" t="str">
        <f t="shared" si="0"/>
        <v>Complete</v>
      </c>
    </row>
    <row r="67" spans="1:14" x14ac:dyDescent="0.35">
      <c r="A67" t="s">
        <v>33</v>
      </c>
      <c r="B67">
        <v>2025</v>
      </c>
      <c r="C67" t="s">
        <v>14</v>
      </c>
      <c r="D67" t="s">
        <v>27</v>
      </c>
      <c r="E67" s="2">
        <v>46.72</v>
      </c>
      <c r="F67" s="2">
        <v>299.5</v>
      </c>
      <c r="G67" s="2">
        <v>34.880000000000003</v>
      </c>
      <c r="H67" s="1">
        <v>46241.25277777778</v>
      </c>
      <c r="I67" s="1">
        <v>45809</v>
      </c>
      <c r="J67" t="s">
        <v>13</v>
      </c>
      <c r="K67" t="str">
        <v>Available</v>
      </c>
      <c r="L67" t="str">
        <v>Available</v>
      </c>
      <c r="M67" t="str">
        <v>Available</v>
      </c>
      <c r="N67" t="str">
        <f t="shared" ref="N67:N130" si="1">IF(AND(NOT(ISBLANK(E67)),NOT(ISBLANK(F67)),NOT(ISBLANK(G67))),"Complete","Missing Data")</f>
        <v>Complete</v>
      </c>
    </row>
    <row r="68" spans="1:14" x14ac:dyDescent="0.35">
      <c r="A68" t="s">
        <v>33</v>
      </c>
      <c r="B68">
        <v>2025</v>
      </c>
      <c r="C68" t="s">
        <v>15</v>
      </c>
      <c r="D68" t="s">
        <v>27</v>
      </c>
      <c r="E68" s="2">
        <v>1269.68</v>
      </c>
      <c r="F68" s="2">
        <v>7551.78</v>
      </c>
      <c r="G68" s="2">
        <v>875.79</v>
      </c>
      <c r="H68" s="1">
        <v>46241.25277777778</v>
      </c>
      <c r="I68" s="1">
        <v>45809</v>
      </c>
      <c r="J68" t="s">
        <v>13</v>
      </c>
      <c r="K68" t="str">
        <v>Available</v>
      </c>
      <c r="L68" t="str">
        <v>Available</v>
      </c>
      <c r="M68" t="str">
        <v>Available</v>
      </c>
      <c r="N68" t="str">
        <f t="shared" si="1"/>
        <v>Complete</v>
      </c>
    </row>
    <row r="69" spans="1:14" x14ac:dyDescent="0.35">
      <c r="A69" t="s">
        <v>33</v>
      </c>
      <c r="B69">
        <v>2025</v>
      </c>
      <c r="C69" t="s">
        <v>16</v>
      </c>
      <c r="D69" t="s">
        <v>27</v>
      </c>
      <c r="E69" s="2">
        <v>676.17</v>
      </c>
      <c r="F69" s="2">
        <v>3311.65</v>
      </c>
      <c r="G69" s="2">
        <v>385.46</v>
      </c>
      <c r="H69" s="1">
        <v>46241.25277777778</v>
      </c>
      <c r="I69" s="1">
        <v>45809</v>
      </c>
      <c r="J69" t="s">
        <v>13</v>
      </c>
      <c r="K69" t="str">
        <v>Available</v>
      </c>
      <c r="L69" t="str">
        <v>Available</v>
      </c>
      <c r="M69" t="str">
        <v>Available</v>
      </c>
      <c r="N69" t="str">
        <f t="shared" si="1"/>
        <v>Complete</v>
      </c>
    </row>
    <row r="70" spans="1:14" x14ac:dyDescent="0.35">
      <c r="A70" t="s">
        <v>33</v>
      </c>
      <c r="B70">
        <v>2025</v>
      </c>
      <c r="C70" t="s">
        <v>17</v>
      </c>
      <c r="D70" t="s">
        <v>27</v>
      </c>
      <c r="E70" s="2">
        <v>675.27</v>
      </c>
      <c r="F70" s="2">
        <v>3752.45</v>
      </c>
      <c r="G70" s="2">
        <v>435.79</v>
      </c>
      <c r="H70" s="1">
        <v>46241.25277777778</v>
      </c>
      <c r="I70" s="1">
        <v>45809</v>
      </c>
      <c r="J70" t="s">
        <v>13</v>
      </c>
      <c r="K70" t="str">
        <v>Available</v>
      </c>
      <c r="L70" t="str">
        <v>Available</v>
      </c>
      <c r="M70" t="str">
        <v>Available</v>
      </c>
      <c r="N70" t="str">
        <f t="shared" si="1"/>
        <v>Complete</v>
      </c>
    </row>
    <row r="71" spans="1:14" x14ac:dyDescent="0.35">
      <c r="A71" t="s">
        <v>33</v>
      </c>
      <c r="B71">
        <v>2025</v>
      </c>
      <c r="C71" t="s">
        <v>28</v>
      </c>
      <c r="D71" t="s">
        <v>27</v>
      </c>
      <c r="E71" s="2">
        <v>1.67</v>
      </c>
      <c r="F71" s="2">
        <v>10.039999999999999</v>
      </c>
      <c r="G71" s="2">
        <v>1.17</v>
      </c>
      <c r="H71" s="1">
        <v>46241.25277777778</v>
      </c>
      <c r="I71" s="1">
        <v>45809</v>
      </c>
      <c r="J71" t="s">
        <v>13</v>
      </c>
      <c r="K71" t="str">
        <v>Available</v>
      </c>
      <c r="L71" t="str">
        <v>Available</v>
      </c>
      <c r="M71" t="str">
        <v>Available</v>
      </c>
      <c r="N71" t="str">
        <f t="shared" si="1"/>
        <v>Complete</v>
      </c>
    </row>
    <row r="72" spans="1:14" x14ac:dyDescent="0.35">
      <c r="A72" t="s">
        <v>33</v>
      </c>
      <c r="B72">
        <v>2025</v>
      </c>
      <c r="C72" t="s">
        <v>18</v>
      </c>
      <c r="D72" t="s">
        <v>27</v>
      </c>
      <c r="E72" s="2">
        <v>2245.1799999999998</v>
      </c>
      <c r="F72" s="2">
        <v>12104.11</v>
      </c>
      <c r="G72" s="2">
        <v>1404.76</v>
      </c>
      <c r="H72" s="1">
        <v>46241.25277777778</v>
      </c>
      <c r="I72" s="1">
        <v>45809</v>
      </c>
      <c r="J72" t="s">
        <v>13</v>
      </c>
      <c r="K72" t="str">
        <v>Available</v>
      </c>
      <c r="L72" t="str">
        <v>Available</v>
      </c>
      <c r="M72" t="str">
        <v>Available</v>
      </c>
      <c r="N72" t="str">
        <f t="shared" si="1"/>
        <v>Complete</v>
      </c>
    </row>
    <row r="73" spans="1:14" x14ac:dyDescent="0.35">
      <c r="A73" t="s">
        <v>33</v>
      </c>
      <c r="B73">
        <v>2025</v>
      </c>
      <c r="C73" t="s">
        <v>19</v>
      </c>
      <c r="D73" t="s">
        <v>27</v>
      </c>
      <c r="E73" s="2">
        <v>0.69</v>
      </c>
      <c r="F73" s="2">
        <v>11.01</v>
      </c>
      <c r="G73" s="2">
        <v>1.29</v>
      </c>
      <c r="H73" s="1">
        <v>46241.25277777778</v>
      </c>
      <c r="I73" s="1">
        <v>45809</v>
      </c>
      <c r="J73" t="s">
        <v>13</v>
      </c>
      <c r="K73" t="str">
        <v>Available</v>
      </c>
      <c r="L73" t="str">
        <v>Available</v>
      </c>
      <c r="M73" t="str">
        <v>Available</v>
      </c>
      <c r="N73" t="str">
        <f t="shared" si="1"/>
        <v>Complete</v>
      </c>
    </row>
    <row r="74" spans="1:14" x14ac:dyDescent="0.35">
      <c r="A74" t="s">
        <v>33</v>
      </c>
      <c r="B74">
        <v>2025</v>
      </c>
      <c r="C74" t="s">
        <v>20</v>
      </c>
      <c r="D74" t="s">
        <v>27</v>
      </c>
      <c r="E74" s="2">
        <v>262.39</v>
      </c>
      <c r="F74" s="2">
        <v>957.56</v>
      </c>
      <c r="G74" s="2">
        <v>111.45</v>
      </c>
      <c r="H74" s="1">
        <v>46241.25277777778</v>
      </c>
      <c r="I74" s="1">
        <v>45809</v>
      </c>
      <c r="J74" t="s">
        <v>13</v>
      </c>
      <c r="K74" t="str">
        <v>Available</v>
      </c>
      <c r="L74" t="str">
        <v>Available</v>
      </c>
      <c r="M74" t="str">
        <v>Available</v>
      </c>
      <c r="N74" t="str">
        <f t="shared" si="1"/>
        <v>Complete</v>
      </c>
    </row>
    <row r="75" spans="1:14" x14ac:dyDescent="0.35">
      <c r="A75" t="s">
        <v>33</v>
      </c>
      <c r="B75">
        <v>2025</v>
      </c>
      <c r="C75" t="s">
        <v>21</v>
      </c>
      <c r="D75" t="s">
        <v>27</v>
      </c>
      <c r="E75" s="2">
        <v>1.91</v>
      </c>
      <c r="F75" s="2">
        <v>9.32</v>
      </c>
      <c r="G75" s="2">
        <v>1.08</v>
      </c>
      <c r="H75" s="1">
        <v>46241.25277777778</v>
      </c>
      <c r="I75" s="1">
        <v>45809</v>
      </c>
      <c r="J75" t="s">
        <v>13</v>
      </c>
      <c r="K75" t="str">
        <v>Available</v>
      </c>
      <c r="L75" t="str">
        <v>Available</v>
      </c>
      <c r="M75" t="str">
        <v>Available</v>
      </c>
      <c r="N75" t="str">
        <f t="shared" si="1"/>
        <v>Complete</v>
      </c>
    </row>
    <row r="76" spans="1:14" x14ac:dyDescent="0.35">
      <c r="A76" t="s">
        <v>33</v>
      </c>
      <c r="B76">
        <v>2025</v>
      </c>
      <c r="C76" t="s">
        <v>29</v>
      </c>
      <c r="D76" t="s">
        <v>27</v>
      </c>
      <c r="H76" s="1">
        <v>46241.25277777778</v>
      </c>
      <c r="I76" s="1">
        <v>45809</v>
      </c>
      <c r="J76" t="s">
        <v>13</v>
      </c>
      <c r="K76" t="str">
        <v>Missing</v>
      </c>
      <c r="L76" t="str">
        <v>Missing</v>
      </c>
      <c r="M76" t="str">
        <v>Missing</v>
      </c>
      <c r="N76" t="str">
        <f t="shared" si="1"/>
        <v>Missing Data</v>
      </c>
    </row>
    <row r="77" spans="1:14" x14ac:dyDescent="0.35">
      <c r="A77" t="s">
        <v>33</v>
      </c>
      <c r="B77">
        <v>2025</v>
      </c>
      <c r="C77" t="s">
        <v>23</v>
      </c>
      <c r="D77" t="s">
        <v>27</v>
      </c>
      <c r="E77" s="2">
        <v>172.71</v>
      </c>
      <c r="F77" s="2">
        <v>808.12</v>
      </c>
      <c r="G77" s="2">
        <v>94.53</v>
      </c>
      <c r="H77" s="1">
        <v>46241.25277777778</v>
      </c>
      <c r="I77" s="1">
        <v>45809</v>
      </c>
      <c r="J77" t="s">
        <v>13</v>
      </c>
      <c r="K77" t="str">
        <v>Available</v>
      </c>
      <c r="L77" t="str">
        <v>Available</v>
      </c>
      <c r="M77" t="str">
        <v>Available</v>
      </c>
      <c r="N77" t="str">
        <f t="shared" si="1"/>
        <v>Complete</v>
      </c>
    </row>
    <row r="78" spans="1:14" x14ac:dyDescent="0.35">
      <c r="A78" t="s">
        <v>33</v>
      </c>
      <c r="B78">
        <v>2025</v>
      </c>
      <c r="C78" t="s">
        <v>30</v>
      </c>
      <c r="D78" t="s">
        <v>27</v>
      </c>
      <c r="E78" s="2">
        <v>5352.39</v>
      </c>
      <c r="F78" s="2">
        <v>28815.53</v>
      </c>
      <c r="G78" s="2">
        <v>3346.2</v>
      </c>
      <c r="H78" s="1">
        <v>46241.25277777778</v>
      </c>
      <c r="I78" s="1">
        <v>45809</v>
      </c>
      <c r="J78" t="s">
        <v>25</v>
      </c>
      <c r="K78" t="str">
        <v>Available</v>
      </c>
      <c r="L78" t="str">
        <v>Available</v>
      </c>
      <c r="M78" t="str">
        <v>Available</v>
      </c>
      <c r="N78" t="str">
        <f t="shared" si="1"/>
        <v>Complete</v>
      </c>
    </row>
    <row r="79" spans="1:14" x14ac:dyDescent="0.35">
      <c r="A79" t="s">
        <v>33</v>
      </c>
      <c r="B79">
        <v>2025</v>
      </c>
      <c r="C79" t="s">
        <v>31</v>
      </c>
      <c r="D79" t="s">
        <v>27</v>
      </c>
      <c r="E79" s="2">
        <v>19024.5</v>
      </c>
      <c r="F79" s="2">
        <v>73201.95</v>
      </c>
      <c r="G79" s="2">
        <v>8518.84</v>
      </c>
      <c r="H79" s="1">
        <v>46241.25277777778</v>
      </c>
      <c r="I79" s="1">
        <v>45809</v>
      </c>
      <c r="J79" t="s">
        <v>25</v>
      </c>
      <c r="K79" t="str">
        <v>Available</v>
      </c>
      <c r="L79" t="str">
        <v>Available</v>
      </c>
      <c r="M79" t="str">
        <v>Available</v>
      </c>
      <c r="N79" t="str">
        <f t="shared" si="1"/>
        <v>Complete</v>
      </c>
    </row>
    <row r="80" spans="1:14" x14ac:dyDescent="0.35">
      <c r="A80" t="s">
        <v>34</v>
      </c>
      <c r="B80">
        <v>2025</v>
      </c>
      <c r="C80" t="s">
        <v>11</v>
      </c>
      <c r="D80" t="s">
        <v>12</v>
      </c>
      <c r="E80" s="2">
        <v>18888.64</v>
      </c>
      <c r="F80" s="2">
        <v>83867.649999999994</v>
      </c>
      <c r="G80" s="2">
        <v>9695.98</v>
      </c>
      <c r="H80" s="1">
        <v>46241.25277777778</v>
      </c>
      <c r="I80" s="1">
        <v>45839</v>
      </c>
      <c r="J80" t="s">
        <v>13</v>
      </c>
      <c r="K80" t="str">
        <v>Available</v>
      </c>
      <c r="L80" t="str">
        <v>Available</v>
      </c>
      <c r="M80" t="str">
        <v>Available</v>
      </c>
      <c r="N80" t="str">
        <f t="shared" si="1"/>
        <v>Complete</v>
      </c>
    </row>
    <row r="81" spans="1:14" x14ac:dyDescent="0.35">
      <c r="A81" t="s">
        <v>34</v>
      </c>
      <c r="B81">
        <v>2025</v>
      </c>
      <c r="C81" t="s">
        <v>14</v>
      </c>
      <c r="D81" t="s">
        <v>12</v>
      </c>
      <c r="E81" s="2">
        <v>1900.18</v>
      </c>
      <c r="F81" s="2">
        <v>8937.9599999999991</v>
      </c>
      <c r="G81" s="2">
        <v>1036.8699999999999</v>
      </c>
      <c r="H81" s="1">
        <v>46241.25277777778</v>
      </c>
      <c r="I81" s="1">
        <v>45839</v>
      </c>
      <c r="J81" t="s">
        <v>13</v>
      </c>
      <c r="K81" t="str">
        <v>Available</v>
      </c>
      <c r="L81" t="str">
        <v>Available</v>
      </c>
      <c r="M81" t="str">
        <v>Available</v>
      </c>
      <c r="N81" t="str">
        <f t="shared" si="1"/>
        <v>Complete</v>
      </c>
    </row>
    <row r="82" spans="1:14" x14ac:dyDescent="0.35">
      <c r="A82" t="s">
        <v>34</v>
      </c>
      <c r="B82">
        <v>2025</v>
      </c>
      <c r="C82" t="s">
        <v>15</v>
      </c>
      <c r="D82" t="s">
        <v>12</v>
      </c>
      <c r="H82" s="1">
        <v>46241.25277777778</v>
      </c>
      <c r="I82" s="1">
        <v>45839</v>
      </c>
      <c r="J82" t="s">
        <v>13</v>
      </c>
      <c r="K82" t="str">
        <v>Missing</v>
      </c>
      <c r="L82" t="str">
        <v>Missing</v>
      </c>
      <c r="M82" t="str">
        <v>Missing</v>
      </c>
      <c r="N82" t="str">
        <f t="shared" si="1"/>
        <v>Missing Data</v>
      </c>
    </row>
    <row r="83" spans="1:14" x14ac:dyDescent="0.35">
      <c r="A83" t="s">
        <v>34</v>
      </c>
      <c r="B83">
        <v>2025</v>
      </c>
      <c r="C83" t="s">
        <v>16</v>
      </c>
      <c r="D83" t="s">
        <v>12</v>
      </c>
      <c r="E83" s="2">
        <v>60.61</v>
      </c>
      <c r="F83" s="2">
        <v>289.64999999999998</v>
      </c>
      <c r="G83" s="2">
        <v>33.119999999999997</v>
      </c>
      <c r="H83" s="1">
        <v>46241.25277777778</v>
      </c>
      <c r="I83" s="1">
        <v>45839</v>
      </c>
      <c r="J83" t="s">
        <v>13</v>
      </c>
      <c r="K83" t="str">
        <v>Available</v>
      </c>
      <c r="L83" t="str">
        <v>Available</v>
      </c>
      <c r="M83" t="str">
        <v>Available</v>
      </c>
      <c r="N83" t="str">
        <f t="shared" si="1"/>
        <v>Complete</v>
      </c>
    </row>
    <row r="84" spans="1:14" x14ac:dyDescent="0.35">
      <c r="A84" t="s">
        <v>34</v>
      </c>
      <c r="B84">
        <v>2025</v>
      </c>
      <c r="C84" t="s">
        <v>17</v>
      </c>
      <c r="D84" t="s">
        <v>12</v>
      </c>
      <c r="H84" s="1">
        <v>46241.25277777778</v>
      </c>
      <c r="I84" s="1">
        <v>45839</v>
      </c>
      <c r="J84" t="s">
        <v>13</v>
      </c>
      <c r="K84" t="str">
        <v>Missing</v>
      </c>
      <c r="L84" t="str">
        <v>Missing</v>
      </c>
      <c r="M84" t="str">
        <v>Missing</v>
      </c>
      <c r="N84" t="str">
        <f t="shared" si="1"/>
        <v>Missing Data</v>
      </c>
    </row>
    <row r="85" spans="1:14" x14ac:dyDescent="0.35">
      <c r="A85" t="s">
        <v>34</v>
      </c>
      <c r="B85">
        <v>2025</v>
      </c>
      <c r="C85" t="s">
        <v>18</v>
      </c>
      <c r="D85" t="s">
        <v>12</v>
      </c>
      <c r="E85" s="2">
        <v>0.66</v>
      </c>
      <c r="F85" s="2">
        <v>4.5599999999999996</v>
      </c>
      <c r="G85" s="2">
        <v>0.53</v>
      </c>
      <c r="H85" s="1">
        <v>46241.25277777778</v>
      </c>
      <c r="I85" s="1">
        <v>45839</v>
      </c>
      <c r="J85" t="s">
        <v>13</v>
      </c>
      <c r="K85" t="str">
        <v>Available</v>
      </c>
      <c r="L85" t="str">
        <v>Available</v>
      </c>
      <c r="M85" t="str">
        <v>Available</v>
      </c>
      <c r="N85" t="str">
        <f t="shared" si="1"/>
        <v>Complete</v>
      </c>
    </row>
    <row r="86" spans="1:14" x14ac:dyDescent="0.35">
      <c r="A86" t="s">
        <v>34</v>
      </c>
      <c r="B86">
        <v>2025</v>
      </c>
      <c r="C86" t="s">
        <v>19</v>
      </c>
      <c r="D86" t="s">
        <v>12</v>
      </c>
      <c r="E86" s="2">
        <v>261.33999999999997</v>
      </c>
      <c r="F86" s="2">
        <v>1961.96</v>
      </c>
      <c r="G86" s="2">
        <v>227.81</v>
      </c>
      <c r="H86" s="1">
        <v>46241.25277777778</v>
      </c>
      <c r="I86" s="1">
        <v>45839</v>
      </c>
      <c r="J86" t="s">
        <v>13</v>
      </c>
      <c r="K86" t="str">
        <v>Available</v>
      </c>
      <c r="L86" t="str">
        <v>Available</v>
      </c>
      <c r="M86" t="str">
        <v>Available</v>
      </c>
      <c r="N86" t="str">
        <f t="shared" si="1"/>
        <v>Complete</v>
      </c>
    </row>
    <row r="87" spans="1:14" x14ac:dyDescent="0.35">
      <c r="A87" t="s">
        <v>34</v>
      </c>
      <c r="B87">
        <v>2025</v>
      </c>
      <c r="C87" t="s">
        <v>20</v>
      </c>
      <c r="D87" t="s">
        <v>12</v>
      </c>
      <c r="E87" s="2">
        <v>525.46</v>
      </c>
      <c r="F87" s="2">
        <v>1825.38</v>
      </c>
      <c r="G87" s="2">
        <v>211.73</v>
      </c>
      <c r="H87" s="1">
        <v>46241.25277777778</v>
      </c>
      <c r="I87" s="1">
        <v>45839</v>
      </c>
      <c r="J87" t="s">
        <v>13</v>
      </c>
      <c r="K87" t="str">
        <v>Available</v>
      </c>
      <c r="L87" t="str">
        <v>Available</v>
      </c>
      <c r="M87" t="str">
        <v>Available</v>
      </c>
      <c r="N87" t="str">
        <f t="shared" si="1"/>
        <v>Complete</v>
      </c>
    </row>
    <row r="88" spans="1:14" x14ac:dyDescent="0.35">
      <c r="A88" t="s">
        <v>34</v>
      </c>
      <c r="B88">
        <v>2025</v>
      </c>
      <c r="C88" t="s">
        <v>21</v>
      </c>
      <c r="D88" t="s">
        <v>12</v>
      </c>
      <c r="E88" s="2">
        <v>198.84</v>
      </c>
      <c r="F88" s="2">
        <v>655.34</v>
      </c>
      <c r="G88" s="2">
        <v>76.099999999999994</v>
      </c>
      <c r="H88" s="1">
        <v>46241.25277777778</v>
      </c>
      <c r="I88" s="1">
        <v>45839</v>
      </c>
      <c r="J88" t="s">
        <v>13</v>
      </c>
      <c r="K88" t="str">
        <v>Available</v>
      </c>
      <c r="L88" t="str">
        <v>Available</v>
      </c>
      <c r="M88" t="str">
        <v>Available</v>
      </c>
      <c r="N88" t="str">
        <f t="shared" si="1"/>
        <v>Complete</v>
      </c>
    </row>
    <row r="89" spans="1:14" x14ac:dyDescent="0.35">
      <c r="A89" t="s">
        <v>34</v>
      </c>
      <c r="B89">
        <v>2025</v>
      </c>
      <c r="C89" t="s">
        <v>22</v>
      </c>
      <c r="D89" t="s">
        <v>12</v>
      </c>
      <c r="E89" s="2">
        <v>1013.47</v>
      </c>
      <c r="F89" s="2">
        <v>1100.32</v>
      </c>
      <c r="G89" s="2">
        <v>127.77</v>
      </c>
      <c r="H89" s="1">
        <v>46241.25277777778</v>
      </c>
      <c r="I89" s="1">
        <v>45839</v>
      </c>
      <c r="J89" t="s">
        <v>13</v>
      </c>
      <c r="K89" t="str">
        <v>Available</v>
      </c>
      <c r="L89" t="str">
        <v>Available</v>
      </c>
      <c r="M89" t="str">
        <v>Available</v>
      </c>
      <c r="N89" t="str">
        <f t="shared" si="1"/>
        <v>Complete</v>
      </c>
    </row>
    <row r="90" spans="1:14" x14ac:dyDescent="0.35">
      <c r="A90" t="s">
        <v>34</v>
      </c>
      <c r="B90">
        <v>2025</v>
      </c>
      <c r="C90" t="s">
        <v>23</v>
      </c>
      <c r="D90" t="s">
        <v>12</v>
      </c>
      <c r="E90" s="2">
        <v>302.58999999999997</v>
      </c>
      <c r="F90" s="2">
        <v>1562.56</v>
      </c>
      <c r="G90" s="2">
        <v>180.86</v>
      </c>
      <c r="H90" s="1">
        <v>46241.25277777778</v>
      </c>
      <c r="I90" s="1">
        <v>45839</v>
      </c>
      <c r="J90" t="s">
        <v>13</v>
      </c>
      <c r="K90" t="str">
        <v>Available</v>
      </c>
      <c r="L90" t="str">
        <v>Available</v>
      </c>
      <c r="M90" t="str">
        <v>Available</v>
      </c>
      <c r="N90" t="str">
        <f t="shared" si="1"/>
        <v>Complete</v>
      </c>
    </row>
    <row r="91" spans="1:14" x14ac:dyDescent="0.35">
      <c r="A91" t="s">
        <v>34</v>
      </c>
      <c r="B91">
        <v>2025</v>
      </c>
      <c r="C91" t="s">
        <v>24</v>
      </c>
      <c r="D91" t="s">
        <v>12</v>
      </c>
      <c r="E91" s="2">
        <v>4263.1499999999996</v>
      </c>
      <c r="F91" s="2">
        <v>16337.74</v>
      </c>
      <c r="G91" s="2">
        <v>1894.8</v>
      </c>
      <c r="H91" s="1">
        <v>46241.25277777778</v>
      </c>
      <c r="I91" s="1">
        <v>45839</v>
      </c>
      <c r="J91" t="s">
        <v>25</v>
      </c>
      <c r="K91" t="str">
        <v>Available</v>
      </c>
      <c r="L91" t="str">
        <v>Available</v>
      </c>
      <c r="M91" t="str">
        <v>Available</v>
      </c>
      <c r="N91" t="str">
        <f t="shared" si="1"/>
        <v>Complete</v>
      </c>
    </row>
    <row r="92" spans="1:14" x14ac:dyDescent="0.35">
      <c r="A92" t="s">
        <v>34</v>
      </c>
      <c r="B92">
        <v>2025</v>
      </c>
      <c r="C92" t="s">
        <v>26</v>
      </c>
      <c r="D92" t="s">
        <v>12</v>
      </c>
      <c r="E92" s="2">
        <v>23151.8</v>
      </c>
      <c r="F92" s="2">
        <v>100205.39</v>
      </c>
      <c r="G92" s="2">
        <v>11590.78</v>
      </c>
      <c r="H92" s="1">
        <v>46241.25277777778</v>
      </c>
      <c r="I92" s="1">
        <v>45839</v>
      </c>
      <c r="J92" t="s">
        <v>25</v>
      </c>
      <c r="K92" t="str">
        <v>Available</v>
      </c>
      <c r="L92" t="str">
        <v>Available</v>
      </c>
      <c r="M92" t="str">
        <v>Available</v>
      </c>
      <c r="N92" t="str">
        <f t="shared" si="1"/>
        <v>Complete</v>
      </c>
    </row>
    <row r="93" spans="1:14" x14ac:dyDescent="0.35">
      <c r="A93" t="s">
        <v>34</v>
      </c>
      <c r="B93">
        <v>2025</v>
      </c>
      <c r="C93" t="s">
        <v>14</v>
      </c>
      <c r="D93" t="s">
        <v>27</v>
      </c>
      <c r="E93" s="2">
        <v>46.6</v>
      </c>
      <c r="F93" s="2">
        <v>287.7</v>
      </c>
      <c r="G93" s="2">
        <v>33.49</v>
      </c>
      <c r="H93" s="1">
        <v>46241.25277777778</v>
      </c>
      <c r="I93" s="1">
        <v>45839</v>
      </c>
      <c r="J93" t="s">
        <v>13</v>
      </c>
      <c r="K93" t="str">
        <v>Available</v>
      </c>
      <c r="L93" t="str">
        <v>Available</v>
      </c>
      <c r="M93" t="str">
        <v>Available</v>
      </c>
      <c r="N93" t="str">
        <f t="shared" si="1"/>
        <v>Complete</v>
      </c>
    </row>
    <row r="94" spans="1:14" x14ac:dyDescent="0.35">
      <c r="A94" t="s">
        <v>34</v>
      </c>
      <c r="B94">
        <v>2025</v>
      </c>
      <c r="C94" t="s">
        <v>15</v>
      </c>
      <c r="D94" t="s">
        <v>27</v>
      </c>
      <c r="E94" s="2">
        <v>1197.08</v>
      </c>
      <c r="F94" s="2">
        <v>7237.06</v>
      </c>
      <c r="G94" s="2">
        <v>838.26</v>
      </c>
      <c r="H94" s="1">
        <v>46241.25277777778</v>
      </c>
      <c r="I94" s="1">
        <v>45839</v>
      </c>
      <c r="J94" t="s">
        <v>13</v>
      </c>
      <c r="K94" t="str">
        <v>Available</v>
      </c>
      <c r="L94" t="str">
        <v>Available</v>
      </c>
      <c r="M94" t="str">
        <v>Available</v>
      </c>
      <c r="N94" t="str">
        <f t="shared" si="1"/>
        <v>Complete</v>
      </c>
    </row>
    <row r="95" spans="1:14" x14ac:dyDescent="0.35">
      <c r="A95" t="s">
        <v>34</v>
      </c>
      <c r="B95">
        <v>2025</v>
      </c>
      <c r="C95" t="s">
        <v>16</v>
      </c>
      <c r="D95" t="s">
        <v>27</v>
      </c>
      <c r="E95" s="2">
        <v>603.65</v>
      </c>
      <c r="F95" s="2">
        <v>2957.07</v>
      </c>
      <c r="G95" s="2">
        <v>343.55</v>
      </c>
      <c r="H95" s="1">
        <v>46241.25277777778</v>
      </c>
      <c r="I95" s="1">
        <v>45839</v>
      </c>
      <c r="J95" t="s">
        <v>13</v>
      </c>
      <c r="K95" t="str">
        <v>Available</v>
      </c>
      <c r="L95" t="str">
        <v>Available</v>
      </c>
      <c r="M95" t="str">
        <v>Available</v>
      </c>
      <c r="N95" t="str">
        <f t="shared" si="1"/>
        <v>Complete</v>
      </c>
    </row>
    <row r="96" spans="1:14" x14ac:dyDescent="0.35">
      <c r="A96" t="s">
        <v>34</v>
      </c>
      <c r="B96">
        <v>2025</v>
      </c>
      <c r="C96" t="s">
        <v>17</v>
      </c>
      <c r="D96" t="s">
        <v>27</v>
      </c>
      <c r="E96" s="2">
        <v>645.29</v>
      </c>
      <c r="F96" s="2">
        <v>3767.5</v>
      </c>
      <c r="G96" s="2">
        <v>436.06</v>
      </c>
      <c r="H96" s="1">
        <v>46241.25277777778</v>
      </c>
      <c r="I96" s="1">
        <v>45839</v>
      </c>
      <c r="J96" t="s">
        <v>13</v>
      </c>
      <c r="K96" t="str">
        <v>Available</v>
      </c>
      <c r="L96" t="str">
        <v>Available</v>
      </c>
      <c r="M96" t="str">
        <v>Available</v>
      </c>
      <c r="N96" t="str">
        <f t="shared" si="1"/>
        <v>Complete</v>
      </c>
    </row>
    <row r="97" spans="1:14" x14ac:dyDescent="0.35">
      <c r="A97" t="s">
        <v>34</v>
      </c>
      <c r="B97">
        <v>2025</v>
      </c>
      <c r="C97" t="s">
        <v>28</v>
      </c>
      <c r="D97" t="s">
        <v>27</v>
      </c>
      <c r="E97" s="2">
        <v>1.58</v>
      </c>
      <c r="F97" s="2">
        <v>10.25</v>
      </c>
      <c r="G97" s="2">
        <v>1.2</v>
      </c>
      <c r="H97" s="1">
        <v>46241.25277777778</v>
      </c>
      <c r="I97" s="1">
        <v>45839</v>
      </c>
      <c r="J97" t="s">
        <v>13</v>
      </c>
      <c r="K97" t="str">
        <v>Available</v>
      </c>
      <c r="L97" t="str">
        <v>Available</v>
      </c>
      <c r="M97" t="str">
        <v>Available</v>
      </c>
      <c r="N97" t="str">
        <f t="shared" si="1"/>
        <v>Complete</v>
      </c>
    </row>
    <row r="98" spans="1:14" x14ac:dyDescent="0.35">
      <c r="A98" t="s">
        <v>34</v>
      </c>
      <c r="B98">
        <v>2025</v>
      </c>
      <c r="C98" t="s">
        <v>18</v>
      </c>
      <c r="D98" t="s">
        <v>27</v>
      </c>
      <c r="E98" s="2">
        <v>2242.2399999999998</v>
      </c>
      <c r="F98" s="2">
        <v>12914.16</v>
      </c>
      <c r="G98" s="2">
        <v>1494.36</v>
      </c>
      <c r="H98" s="1">
        <v>46241.25277777778</v>
      </c>
      <c r="I98" s="1">
        <v>45839</v>
      </c>
      <c r="J98" t="s">
        <v>13</v>
      </c>
      <c r="K98" t="str">
        <v>Available</v>
      </c>
      <c r="L98" t="str">
        <v>Available</v>
      </c>
      <c r="M98" t="str">
        <v>Available</v>
      </c>
      <c r="N98" t="str">
        <f t="shared" si="1"/>
        <v>Complete</v>
      </c>
    </row>
    <row r="99" spans="1:14" x14ac:dyDescent="0.35">
      <c r="A99" t="s">
        <v>34</v>
      </c>
      <c r="B99">
        <v>2025</v>
      </c>
      <c r="C99" t="s">
        <v>19</v>
      </c>
      <c r="D99" t="s">
        <v>27</v>
      </c>
      <c r="E99" s="2">
        <v>1.1599999999999999</v>
      </c>
      <c r="F99" s="2">
        <v>16.68</v>
      </c>
      <c r="G99" s="2">
        <v>1.92</v>
      </c>
      <c r="H99" s="1">
        <v>46241.25277777778</v>
      </c>
      <c r="I99" s="1">
        <v>45839</v>
      </c>
      <c r="J99" t="s">
        <v>13</v>
      </c>
      <c r="K99" t="str">
        <v>Available</v>
      </c>
      <c r="L99" t="str">
        <v>Available</v>
      </c>
      <c r="M99" t="str">
        <v>Available</v>
      </c>
      <c r="N99" t="str">
        <f t="shared" si="1"/>
        <v>Complete</v>
      </c>
    </row>
    <row r="100" spans="1:14" x14ac:dyDescent="0.35">
      <c r="A100" t="s">
        <v>34</v>
      </c>
      <c r="B100">
        <v>2025</v>
      </c>
      <c r="C100" t="s">
        <v>20</v>
      </c>
      <c r="D100" t="s">
        <v>27</v>
      </c>
      <c r="E100" s="2">
        <v>174.15</v>
      </c>
      <c r="F100" s="2">
        <v>572.32000000000005</v>
      </c>
      <c r="G100" s="2">
        <v>66.36</v>
      </c>
      <c r="H100" s="1">
        <v>46241.25277777778</v>
      </c>
      <c r="I100" s="1">
        <v>45839</v>
      </c>
      <c r="J100" t="s">
        <v>13</v>
      </c>
      <c r="K100" t="str">
        <v>Available</v>
      </c>
      <c r="L100" t="str">
        <v>Available</v>
      </c>
      <c r="M100" t="str">
        <v>Available</v>
      </c>
      <c r="N100" t="str">
        <f t="shared" si="1"/>
        <v>Complete</v>
      </c>
    </row>
    <row r="101" spans="1:14" x14ac:dyDescent="0.35">
      <c r="A101" t="s">
        <v>34</v>
      </c>
      <c r="B101">
        <v>2025</v>
      </c>
      <c r="C101" t="s">
        <v>21</v>
      </c>
      <c r="D101" t="s">
        <v>27</v>
      </c>
      <c r="E101" s="2">
        <v>1.41</v>
      </c>
      <c r="F101" s="2">
        <v>7.55</v>
      </c>
      <c r="G101" s="2">
        <v>0.88</v>
      </c>
      <c r="H101" s="1">
        <v>46241.25277777778</v>
      </c>
      <c r="I101" s="1">
        <v>45839</v>
      </c>
      <c r="J101" t="s">
        <v>13</v>
      </c>
      <c r="K101" t="str">
        <v>Available</v>
      </c>
      <c r="L101" t="str">
        <v>Available</v>
      </c>
      <c r="M101" t="str">
        <v>Available</v>
      </c>
      <c r="N101" t="str">
        <f t="shared" si="1"/>
        <v>Complete</v>
      </c>
    </row>
    <row r="102" spans="1:14" x14ac:dyDescent="0.35">
      <c r="A102" t="s">
        <v>34</v>
      </c>
      <c r="B102">
        <v>2025</v>
      </c>
      <c r="C102" t="s">
        <v>29</v>
      </c>
      <c r="D102" t="s">
        <v>27</v>
      </c>
      <c r="E102" s="2">
        <v>4.4000000000000004</v>
      </c>
      <c r="F102" s="2">
        <v>10.44</v>
      </c>
      <c r="G102" s="2">
        <v>1.22</v>
      </c>
      <c r="H102" s="1">
        <v>46241.25277777778</v>
      </c>
      <c r="I102" s="1">
        <v>45839</v>
      </c>
      <c r="J102" t="s">
        <v>13</v>
      </c>
      <c r="K102" t="str">
        <v>Available</v>
      </c>
      <c r="L102" t="str">
        <v>Available</v>
      </c>
      <c r="M102" t="str">
        <v>Available</v>
      </c>
      <c r="N102" t="str">
        <f t="shared" si="1"/>
        <v>Complete</v>
      </c>
    </row>
    <row r="103" spans="1:14" x14ac:dyDescent="0.35">
      <c r="A103" t="s">
        <v>34</v>
      </c>
      <c r="B103">
        <v>2025</v>
      </c>
      <c r="C103" t="s">
        <v>23</v>
      </c>
      <c r="D103" t="s">
        <v>27</v>
      </c>
      <c r="E103" s="2">
        <v>114.16</v>
      </c>
      <c r="F103" s="2">
        <v>514.61</v>
      </c>
      <c r="G103" s="2">
        <v>59.88</v>
      </c>
      <c r="H103" s="1">
        <v>46241.25277777778</v>
      </c>
      <c r="I103" s="1">
        <v>45839</v>
      </c>
      <c r="J103" t="s">
        <v>13</v>
      </c>
      <c r="K103" t="str">
        <v>Available</v>
      </c>
      <c r="L103" t="str">
        <v>Available</v>
      </c>
      <c r="M103" t="str">
        <v>Available</v>
      </c>
      <c r="N103" t="str">
        <f t="shared" si="1"/>
        <v>Complete</v>
      </c>
    </row>
    <row r="104" spans="1:14" x14ac:dyDescent="0.35">
      <c r="A104" t="s">
        <v>34</v>
      </c>
      <c r="B104">
        <v>2025</v>
      </c>
      <c r="C104" t="s">
        <v>30</v>
      </c>
      <c r="D104" t="s">
        <v>27</v>
      </c>
      <c r="E104" s="2">
        <v>5031.71</v>
      </c>
      <c r="F104" s="2">
        <v>28295.360000000001</v>
      </c>
      <c r="G104" s="2">
        <v>3277.17</v>
      </c>
      <c r="H104" s="1">
        <v>46241.25277777778</v>
      </c>
      <c r="I104" s="1">
        <v>45839</v>
      </c>
      <c r="J104" t="s">
        <v>25</v>
      </c>
      <c r="K104" t="str">
        <v>Available</v>
      </c>
      <c r="L104" t="str">
        <v>Available</v>
      </c>
      <c r="M104" t="str">
        <v>Available</v>
      </c>
      <c r="N104" t="str">
        <f t="shared" si="1"/>
        <v>Complete</v>
      </c>
    </row>
    <row r="105" spans="1:14" x14ac:dyDescent="0.35">
      <c r="A105" t="s">
        <v>34</v>
      </c>
      <c r="B105">
        <v>2025</v>
      </c>
      <c r="C105" t="s">
        <v>31</v>
      </c>
      <c r="D105" t="s">
        <v>27</v>
      </c>
      <c r="E105" s="2">
        <v>18120.080000000002</v>
      </c>
      <c r="F105" s="2">
        <v>71910.03</v>
      </c>
      <c r="G105" s="2">
        <v>8313.6</v>
      </c>
      <c r="H105" s="1">
        <v>46241.25277777778</v>
      </c>
      <c r="I105" s="1">
        <v>45839</v>
      </c>
      <c r="J105" t="s">
        <v>25</v>
      </c>
      <c r="K105" t="str">
        <v>Available</v>
      </c>
      <c r="L105" t="str">
        <v>Available</v>
      </c>
      <c r="M105" t="str">
        <v>Available</v>
      </c>
      <c r="N105" t="str">
        <f t="shared" si="1"/>
        <v>Complete</v>
      </c>
    </row>
    <row r="106" spans="1:14" x14ac:dyDescent="0.35">
      <c r="A106" t="s">
        <v>35</v>
      </c>
      <c r="B106">
        <v>2025</v>
      </c>
      <c r="C106" t="s">
        <v>11</v>
      </c>
      <c r="D106" t="s">
        <v>12</v>
      </c>
      <c r="E106" s="2">
        <v>19603.419999999998</v>
      </c>
      <c r="F106" s="2">
        <v>86705.96</v>
      </c>
      <c r="G106" s="2">
        <v>9898.09</v>
      </c>
      <c r="H106" s="1">
        <v>46241.25277777778</v>
      </c>
      <c r="I106" s="1">
        <v>45870</v>
      </c>
      <c r="J106" t="s">
        <v>13</v>
      </c>
      <c r="K106" t="str">
        <v>Available</v>
      </c>
      <c r="L106" t="str">
        <v>Available</v>
      </c>
      <c r="M106" t="str">
        <v>Available</v>
      </c>
      <c r="N106" t="str">
        <f t="shared" si="1"/>
        <v>Complete</v>
      </c>
    </row>
    <row r="107" spans="1:14" x14ac:dyDescent="0.35">
      <c r="A107" t="s">
        <v>35</v>
      </c>
      <c r="B107">
        <v>2025</v>
      </c>
      <c r="C107" t="s">
        <v>14</v>
      </c>
      <c r="D107" t="s">
        <v>12</v>
      </c>
      <c r="E107" s="2">
        <v>1932.06</v>
      </c>
      <c r="F107" s="2">
        <v>8512.85</v>
      </c>
      <c r="G107" s="2">
        <v>972.72</v>
      </c>
      <c r="H107" s="1">
        <v>46241.25277777778</v>
      </c>
      <c r="I107" s="1">
        <v>45870</v>
      </c>
      <c r="J107" t="s">
        <v>13</v>
      </c>
      <c r="K107" t="str">
        <v>Available</v>
      </c>
      <c r="L107" t="str">
        <v>Available</v>
      </c>
      <c r="M107" t="str">
        <v>Available</v>
      </c>
      <c r="N107" t="str">
        <f t="shared" si="1"/>
        <v>Complete</v>
      </c>
    </row>
    <row r="108" spans="1:14" x14ac:dyDescent="0.35">
      <c r="A108" t="s">
        <v>35</v>
      </c>
      <c r="B108">
        <v>2025</v>
      </c>
      <c r="C108" t="s">
        <v>15</v>
      </c>
      <c r="D108" t="s">
        <v>12</v>
      </c>
      <c r="H108" s="1">
        <v>46241.25277777778</v>
      </c>
      <c r="I108" s="1">
        <v>45870</v>
      </c>
      <c r="J108" t="s">
        <v>13</v>
      </c>
      <c r="K108" t="str">
        <v>Missing</v>
      </c>
      <c r="L108" t="str">
        <v>Missing</v>
      </c>
      <c r="M108" t="str">
        <v>Missing</v>
      </c>
      <c r="N108" t="str">
        <f t="shared" si="1"/>
        <v>Missing Data</v>
      </c>
    </row>
    <row r="109" spans="1:14" x14ac:dyDescent="0.35">
      <c r="A109" t="s">
        <v>35</v>
      </c>
      <c r="B109">
        <v>2025</v>
      </c>
      <c r="C109" t="s">
        <v>16</v>
      </c>
      <c r="D109" t="s">
        <v>12</v>
      </c>
      <c r="E109" s="2">
        <v>41.49</v>
      </c>
      <c r="F109" s="2">
        <v>197.34</v>
      </c>
      <c r="G109" s="2">
        <v>22.4</v>
      </c>
      <c r="H109" s="1">
        <v>46241.25277777778</v>
      </c>
      <c r="I109" s="1">
        <v>45870</v>
      </c>
      <c r="J109" t="s">
        <v>13</v>
      </c>
      <c r="K109" t="str">
        <v>Available</v>
      </c>
      <c r="L109" t="str">
        <v>Available</v>
      </c>
      <c r="M109" t="str">
        <v>Available</v>
      </c>
      <c r="N109" t="str">
        <f t="shared" si="1"/>
        <v>Complete</v>
      </c>
    </row>
    <row r="110" spans="1:14" x14ac:dyDescent="0.35">
      <c r="A110" t="s">
        <v>35</v>
      </c>
      <c r="B110">
        <v>2025</v>
      </c>
      <c r="C110" t="s">
        <v>17</v>
      </c>
      <c r="D110" t="s">
        <v>12</v>
      </c>
      <c r="H110" s="1">
        <v>46241.25277777778</v>
      </c>
      <c r="I110" s="1">
        <v>45870</v>
      </c>
      <c r="J110" t="s">
        <v>13</v>
      </c>
      <c r="K110" t="str">
        <v>Missing</v>
      </c>
      <c r="L110" t="str">
        <v>Missing</v>
      </c>
      <c r="M110" t="str">
        <v>Missing</v>
      </c>
      <c r="N110" t="str">
        <f t="shared" si="1"/>
        <v>Missing Data</v>
      </c>
    </row>
    <row r="111" spans="1:14" x14ac:dyDescent="0.35">
      <c r="A111" t="s">
        <v>35</v>
      </c>
      <c r="B111">
        <v>2025</v>
      </c>
      <c r="C111" t="s">
        <v>18</v>
      </c>
      <c r="D111" t="s">
        <v>12</v>
      </c>
      <c r="E111" s="2">
        <v>3.58</v>
      </c>
      <c r="F111" s="2">
        <v>36.799999999999997</v>
      </c>
      <c r="G111" s="2">
        <v>4.21</v>
      </c>
      <c r="H111" s="1">
        <v>46241.25277777778</v>
      </c>
      <c r="I111" s="1">
        <v>45870</v>
      </c>
      <c r="J111" t="s">
        <v>13</v>
      </c>
      <c r="K111" t="str">
        <v>Available</v>
      </c>
      <c r="L111" t="str">
        <v>Available</v>
      </c>
      <c r="M111" t="str">
        <v>Available</v>
      </c>
      <c r="N111" t="str">
        <f t="shared" si="1"/>
        <v>Complete</v>
      </c>
    </row>
    <row r="112" spans="1:14" x14ac:dyDescent="0.35">
      <c r="A112" t="s">
        <v>35</v>
      </c>
      <c r="B112">
        <v>2025</v>
      </c>
      <c r="C112" t="s">
        <v>19</v>
      </c>
      <c r="D112" t="s">
        <v>12</v>
      </c>
      <c r="E112" s="2">
        <v>242.91</v>
      </c>
      <c r="F112" s="2">
        <v>1847.43</v>
      </c>
      <c r="G112" s="2">
        <v>211.12</v>
      </c>
      <c r="H112" s="1">
        <v>46241.25277777778</v>
      </c>
      <c r="I112" s="1">
        <v>45870</v>
      </c>
      <c r="J112" t="s">
        <v>13</v>
      </c>
      <c r="K112" t="str">
        <v>Available</v>
      </c>
      <c r="L112" t="str">
        <v>Available</v>
      </c>
      <c r="M112" t="str">
        <v>Available</v>
      </c>
      <c r="N112" t="str">
        <f t="shared" si="1"/>
        <v>Complete</v>
      </c>
    </row>
    <row r="113" spans="1:14" x14ac:dyDescent="0.35">
      <c r="A113" t="s">
        <v>35</v>
      </c>
      <c r="B113">
        <v>2025</v>
      </c>
      <c r="C113" t="s">
        <v>20</v>
      </c>
      <c r="D113" t="s">
        <v>12</v>
      </c>
      <c r="E113" s="2">
        <v>364.62</v>
      </c>
      <c r="F113" s="2">
        <v>1523.89</v>
      </c>
      <c r="G113" s="2">
        <v>174.12</v>
      </c>
      <c r="H113" s="1">
        <v>46241.25277777778</v>
      </c>
      <c r="I113" s="1">
        <v>45870</v>
      </c>
      <c r="J113" t="s">
        <v>13</v>
      </c>
      <c r="K113" t="str">
        <v>Available</v>
      </c>
      <c r="L113" t="str">
        <v>Available</v>
      </c>
      <c r="M113" t="str">
        <v>Available</v>
      </c>
      <c r="N113" t="str">
        <f t="shared" si="1"/>
        <v>Complete</v>
      </c>
    </row>
    <row r="114" spans="1:14" x14ac:dyDescent="0.35">
      <c r="A114" t="s">
        <v>35</v>
      </c>
      <c r="B114">
        <v>2025</v>
      </c>
      <c r="C114" t="s">
        <v>21</v>
      </c>
      <c r="D114" t="s">
        <v>12</v>
      </c>
      <c r="E114" s="2">
        <v>186.52</v>
      </c>
      <c r="F114" s="2">
        <v>621.88</v>
      </c>
      <c r="G114" s="2">
        <v>71.05</v>
      </c>
      <c r="H114" s="1">
        <v>46241.25277777778</v>
      </c>
      <c r="I114" s="1">
        <v>45870</v>
      </c>
      <c r="J114" t="s">
        <v>13</v>
      </c>
      <c r="K114" t="str">
        <v>Available</v>
      </c>
      <c r="L114" t="str">
        <v>Available</v>
      </c>
      <c r="M114" t="str">
        <v>Available</v>
      </c>
      <c r="N114" t="str">
        <f t="shared" si="1"/>
        <v>Complete</v>
      </c>
    </row>
    <row r="115" spans="1:14" x14ac:dyDescent="0.35">
      <c r="A115" t="s">
        <v>35</v>
      </c>
      <c r="B115">
        <v>2025</v>
      </c>
      <c r="C115" t="s">
        <v>22</v>
      </c>
      <c r="D115" t="s">
        <v>12</v>
      </c>
      <c r="E115" s="2">
        <v>1602.58</v>
      </c>
      <c r="F115" s="2">
        <v>1758.08</v>
      </c>
      <c r="G115" s="2">
        <v>200.88</v>
      </c>
      <c r="H115" s="1">
        <v>46241.25277777778</v>
      </c>
      <c r="I115" s="1">
        <v>45870</v>
      </c>
      <c r="J115" t="s">
        <v>13</v>
      </c>
      <c r="K115" t="str">
        <v>Available</v>
      </c>
      <c r="L115" t="str">
        <v>Available</v>
      </c>
      <c r="M115" t="str">
        <v>Available</v>
      </c>
      <c r="N115" t="str">
        <f t="shared" si="1"/>
        <v>Complete</v>
      </c>
    </row>
    <row r="116" spans="1:14" x14ac:dyDescent="0.35">
      <c r="A116" t="s">
        <v>35</v>
      </c>
      <c r="B116">
        <v>2025</v>
      </c>
      <c r="C116" t="s">
        <v>23</v>
      </c>
      <c r="D116" t="s">
        <v>12</v>
      </c>
      <c r="E116" s="2">
        <v>158.31</v>
      </c>
      <c r="F116" s="2">
        <v>855.98</v>
      </c>
      <c r="G116" s="2">
        <v>97.82</v>
      </c>
      <c r="H116" s="1">
        <v>46241.25277777778</v>
      </c>
      <c r="I116" s="1">
        <v>45870</v>
      </c>
      <c r="J116" t="s">
        <v>13</v>
      </c>
      <c r="K116" t="str">
        <v>Available</v>
      </c>
      <c r="L116" t="str">
        <v>Available</v>
      </c>
      <c r="M116" t="str">
        <v>Available</v>
      </c>
      <c r="N116" t="str">
        <f t="shared" si="1"/>
        <v>Complete</v>
      </c>
    </row>
    <row r="117" spans="1:14" x14ac:dyDescent="0.35">
      <c r="A117" t="s">
        <v>35</v>
      </c>
      <c r="B117">
        <v>2025</v>
      </c>
      <c r="C117" t="s">
        <v>24</v>
      </c>
      <c r="D117" t="s">
        <v>12</v>
      </c>
      <c r="E117" s="2">
        <v>4532.07</v>
      </c>
      <c r="F117" s="2">
        <v>15354.25</v>
      </c>
      <c r="G117" s="2">
        <v>1754.32</v>
      </c>
      <c r="H117" s="1">
        <v>46241.25277777778</v>
      </c>
      <c r="I117" s="1">
        <v>45870</v>
      </c>
      <c r="J117" t="s">
        <v>25</v>
      </c>
      <c r="K117" t="str">
        <v>Available</v>
      </c>
      <c r="L117" t="str">
        <v>Available</v>
      </c>
      <c r="M117" t="str">
        <v>Available</v>
      </c>
      <c r="N117" t="str">
        <f t="shared" si="1"/>
        <v>Complete</v>
      </c>
    </row>
    <row r="118" spans="1:14" x14ac:dyDescent="0.35">
      <c r="A118" t="s">
        <v>35</v>
      </c>
      <c r="B118">
        <v>2025</v>
      </c>
      <c r="C118" t="s">
        <v>26</v>
      </c>
      <c r="D118" t="s">
        <v>12</v>
      </c>
      <c r="E118" s="2">
        <v>24135.49</v>
      </c>
      <c r="F118" s="2">
        <v>102060.21</v>
      </c>
      <c r="G118" s="2">
        <v>11652.4</v>
      </c>
      <c r="H118" s="1">
        <v>46241.25277777778</v>
      </c>
      <c r="I118" s="1">
        <v>45870</v>
      </c>
      <c r="J118" t="s">
        <v>25</v>
      </c>
      <c r="K118" t="str">
        <v>Available</v>
      </c>
      <c r="L118" t="str">
        <v>Available</v>
      </c>
      <c r="M118" t="str">
        <v>Available</v>
      </c>
      <c r="N118" t="str">
        <f t="shared" si="1"/>
        <v>Complete</v>
      </c>
    </row>
    <row r="119" spans="1:14" x14ac:dyDescent="0.35">
      <c r="A119" t="s">
        <v>35</v>
      </c>
      <c r="B119">
        <v>2025</v>
      </c>
      <c r="C119" t="s">
        <v>14</v>
      </c>
      <c r="D119" t="s">
        <v>27</v>
      </c>
      <c r="E119" s="2">
        <v>43.4</v>
      </c>
      <c r="F119" s="2">
        <v>261.56</v>
      </c>
      <c r="G119" s="2">
        <v>30.45</v>
      </c>
      <c r="H119" s="1">
        <v>46241.25277777778</v>
      </c>
      <c r="I119" s="1">
        <v>45870</v>
      </c>
      <c r="J119" t="s">
        <v>13</v>
      </c>
      <c r="K119" t="str">
        <v>Available</v>
      </c>
      <c r="L119" t="str">
        <v>Available</v>
      </c>
      <c r="M119" t="str">
        <v>Available</v>
      </c>
      <c r="N119" t="str">
        <f t="shared" si="1"/>
        <v>Complete</v>
      </c>
    </row>
    <row r="120" spans="1:14" x14ac:dyDescent="0.35">
      <c r="A120" t="s">
        <v>35</v>
      </c>
      <c r="B120">
        <v>2025</v>
      </c>
      <c r="C120" t="s">
        <v>15</v>
      </c>
      <c r="D120" t="s">
        <v>27</v>
      </c>
      <c r="E120" s="2">
        <v>1524.66</v>
      </c>
      <c r="F120" s="2">
        <v>8732.0400000000009</v>
      </c>
      <c r="G120" s="2">
        <v>988.24</v>
      </c>
      <c r="H120" s="1">
        <v>46241.25277777778</v>
      </c>
      <c r="I120" s="1">
        <v>45870</v>
      </c>
      <c r="J120" t="s">
        <v>13</v>
      </c>
      <c r="K120" t="str">
        <v>Available</v>
      </c>
      <c r="L120" t="str">
        <v>Available</v>
      </c>
      <c r="M120" t="str">
        <v>Available</v>
      </c>
      <c r="N120" t="str">
        <f t="shared" si="1"/>
        <v>Complete</v>
      </c>
    </row>
    <row r="121" spans="1:14" x14ac:dyDescent="0.35">
      <c r="A121" t="s">
        <v>35</v>
      </c>
      <c r="B121">
        <v>2025</v>
      </c>
      <c r="C121" t="s">
        <v>16</v>
      </c>
      <c r="D121" t="s">
        <v>27</v>
      </c>
      <c r="E121" s="2">
        <v>581.58000000000004</v>
      </c>
      <c r="F121" s="2">
        <v>2823.43</v>
      </c>
      <c r="G121" s="2">
        <v>321.87</v>
      </c>
      <c r="H121" s="1">
        <v>46241.25277777778</v>
      </c>
      <c r="I121" s="1">
        <v>45870</v>
      </c>
      <c r="J121" t="s">
        <v>13</v>
      </c>
      <c r="K121" t="str">
        <v>Available</v>
      </c>
      <c r="L121" t="str">
        <v>Available</v>
      </c>
      <c r="M121" t="str">
        <v>Available</v>
      </c>
      <c r="N121" t="str">
        <f t="shared" si="1"/>
        <v>Complete</v>
      </c>
    </row>
    <row r="122" spans="1:14" x14ac:dyDescent="0.35">
      <c r="A122" t="s">
        <v>35</v>
      </c>
      <c r="B122">
        <v>2025</v>
      </c>
      <c r="C122" t="s">
        <v>17</v>
      </c>
      <c r="D122" t="s">
        <v>27</v>
      </c>
      <c r="E122" s="2">
        <v>556.09</v>
      </c>
      <c r="F122" s="2">
        <v>3223.8</v>
      </c>
      <c r="G122" s="2">
        <v>362.3</v>
      </c>
      <c r="H122" s="1">
        <v>46241.25277777778</v>
      </c>
      <c r="I122" s="1">
        <v>45870</v>
      </c>
      <c r="J122" t="s">
        <v>13</v>
      </c>
      <c r="K122" t="str">
        <v>Available</v>
      </c>
      <c r="L122" t="str">
        <v>Available</v>
      </c>
      <c r="M122" t="str">
        <v>Available</v>
      </c>
      <c r="N122" t="str">
        <f t="shared" si="1"/>
        <v>Complete</v>
      </c>
    </row>
    <row r="123" spans="1:14" x14ac:dyDescent="0.35">
      <c r="A123" t="s">
        <v>35</v>
      </c>
      <c r="B123">
        <v>2025</v>
      </c>
      <c r="C123" t="s">
        <v>28</v>
      </c>
      <c r="D123" t="s">
        <v>27</v>
      </c>
      <c r="E123" s="2">
        <v>1.19</v>
      </c>
      <c r="F123" s="2">
        <v>8</v>
      </c>
      <c r="G123" s="2">
        <v>0.93</v>
      </c>
      <c r="H123" s="1">
        <v>46241.25277777778</v>
      </c>
      <c r="I123" s="1">
        <v>45870</v>
      </c>
      <c r="J123" t="s">
        <v>13</v>
      </c>
      <c r="K123" t="str">
        <v>Available</v>
      </c>
      <c r="L123" t="str">
        <v>Available</v>
      </c>
      <c r="M123" t="str">
        <v>Available</v>
      </c>
      <c r="N123" t="str">
        <f t="shared" si="1"/>
        <v>Complete</v>
      </c>
    </row>
    <row r="124" spans="1:14" x14ac:dyDescent="0.35">
      <c r="A124" t="s">
        <v>35</v>
      </c>
      <c r="B124">
        <v>2025</v>
      </c>
      <c r="C124" t="s">
        <v>18</v>
      </c>
      <c r="D124" t="s">
        <v>27</v>
      </c>
      <c r="E124" s="2">
        <v>2583.36</v>
      </c>
      <c r="F124" s="2">
        <v>14423.67</v>
      </c>
      <c r="G124" s="2">
        <v>1632.83</v>
      </c>
      <c r="H124" s="1">
        <v>46241.25277777778</v>
      </c>
      <c r="I124" s="1">
        <v>45870</v>
      </c>
      <c r="J124" t="s">
        <v>13</v>
      </c>
      <c r="K124" t="str">
        <v>Available</v>
      </c>
      <c r="L124" t="str">
        <v>Available</v>
      </c>
      <c r="M124" t="str">
        <v>Available</v>
      </c>
      <c r="N124" t="str">
        <f t="shared" si="1"/>
        <v>Complete</v>
      </c>
    </row>
    <row r="125" spans="1:14" x14ac:dyDescent="0.35">
      <c r="A125" t="s">
        <v>35</v>
      </c>
      <c r="B125">
        <v>2025</v>
      </c>
      <c r="C125" t="s">
        <v>19</v>
      </c>
      <c r="D125" t="s">
        <v>27</v>
      </c>
      <c r="E125" s="2">
        <v>0.73</v>
      </c>
      <c r="F125" s="2">
        <v>11.04</v>
      </c>
      <c r="G125" s="2">
        <v>1.26</v>
      </c>
      <c r="H125" s="1">
        <v>46241.25277777778</v>
      </c>
      <c r="I125" s="1">
        <v>45870</v>
      </c>
      <c r="J125" t="s">
        <v>13</v>
      </c>
      <c r="K125" t="str">
        <v>Available</v>
      </c>
      <c r="L125" t="str">
        <v>Available</v>
      </c>
      <c r="M125" t="str">
        <v>Available</v>
      </c>
      <c r="N125" t="str">
        <f t="shared" si="1"/>
        <v>Complete</v>
      </c>
    </row>
    <row r="126" spans="1:14" x14ac:dyDescent="0.35">
      <c r="A126" t="s">
        <v>35</v>
      </c>
      <c r="B126">
        <v>2025</v>
      </c>
      <c r="C126" t="s">
        <v>20</v>
      </c>
      <c r="D126" t="s">
        <v>27</v>
      </c>
      <c r="E126" s="2">
        <v>225.94</v>
      </c>
      <c r="F126" s="2">
        <v>733.32</v>
      </c>
      <c r="G126" s="2">
        <v>84.62</v>
      </c>
      <c r="H126" s="1">
        <v>46241.25277777778</v>
      </c>
      <c r="I126" s="1">
        <v>45870</v>
      </c>
      <c r="J126" t="s">
        <v>13</v>
      </c>
      <c r="K126" t="str">
        <v>Available</v>
      </c>
      <c r="L126" t="str">
        <v>Available</v>
      </c>
      <c r="M126" t="str">
        <v>Available</v>
      </c>
      <c r="N126" t="str">
        <f t="shared" si="1"/>
        <v>Complete</v>
      </c>
    </row>
    <row r="127" spans="1:14" x14ac:dyDescent="0.35">
      <c r="A127" t="s">
        <v>35</v>
      </c>
      <c r="B127">
        <v>2025</v>
      </c>
      <c r="C127" t="s">
        <v>21</v>
      </c>
      <c r="D127" t="s">
        <v>27</v>
      </c>
      <c r="E127" s="2">
        <v>1.73</v>
      </c>
      <c r="F127" s="2">
        <v>8.09</v>
      </c>
      <c r="G127" s="2">
        <v>0.92</v>
      </c>
      <c r="H127" s="1">
        <v>46241.25277777778</v>
      </c>
      <c r="I127" s="1">
        <v>45870</v>
      </c>
      <c r="J127" t="s">
        <v>13</v>
      </c>
      <c r="K127" t="str">
        <v>Available</v>
      </c>
      <c r="L127" t="str">
        <v>Available</v>
      </c>
      <c r="M127" t="str">
        <v>Available</v>
      </c>
      <c r="N127" t="str">
        <f t="shared" si="1"/>
        <v>Complete</v>
      </c>
    </row>
    <row r="128" spans="1:14" x14ac:dyDescent="0.35">
      <c r="A128" t="s">
        <v>35</v>
      </c>
      <c r="B128">
        <v>2025</v>
      </c>
      <c r="C128" t="s">
        <v>29</v>
      </c>
      <c r="D128" t="s">
        <v>27</v>
      </c>
      <c r="E128" s="2">
        <v>34.1</v>
      </c>
      <c r="F128" s="2">
        <v>178.2</v>
      </c>
      <c r="G128" s="2">
        <v>20.309999999999999</v>
      </c>
      <c r="H128" s="1">
        <v>46241.25277777778</v>
      </c>
      <c r="I128" s="1">
        <v>45870</v>
      </c>
      <c r="J128" t="s">
        <v>13</v>
      </c>
      <c r="K128" t="str">
        <v>Available</v>
      </c>
      <c r="L128" t="str">
        <v>Available</v>
      </c>
      <c r="M128" t="str">
        <v>Available</v>
      </c>
      <c r="N128" t="str">
        <f t="shared" si="1"/>
        <v>Complete</v>
      </c>
    </row>
    <row r="129" spans="1:14" x14ac:dyDescent="0.35">
      <c r="A129" t="s">
        <v>35</v>
      </c>
      <c r="B129">
        <v>2025</v>
      </c>
      <c r="C129" t="s">
        <v>23</v>
      </c>
      <c r="D129" t="s">
        <v>27</v>
      </c>
      <c r="E129" s="2">
        <v>109.66</v>
      </c>
      <c r="F129" s="2">
        <v>484.86</v>
      </c>
      <c r="G129" s="2">
        <v>55.33</v>
      </c>
      <c r="H129" s="1">
        <v>46241.25277777778</v>
      </c>
      <c r="I129" s="1">
        <v>45870</v>
      </c>
      <c r="J129" t="s">
        <v>13</v>
      </c>
      <c r="K129" t="str">
        <v>Available</v>
      </c>
      <c r="L129" t="str">
        <v>Available</v>
      </c>
      <c r="M129" t="str">
        <v>Available</v>
      </c>
      <c r="N129" t="str">
        <f t="shared" si="1"/>
        <v>Complete</v>
      </c>
    </row>
    <row r="130" spans="1:14" x14ac:dyDescent="0.35">
      <c r="A130" t="s">
        <v>35</v>
      </c>
      <c r="B130">
        <v>2025</v>
      </c>
      <c r="C130" t="s">
        <v>30</v>
      </c>
      <c r="D130" t="s">
        <v>27</v>
      </c>
      <c r="E130" s="2">
        <v>5662.43</v>
      </c>
      <c r="F130" s="2">
        <v>30888</v>
      </c>
      <c r="G130" s="2">
        <v>3499.05</v>
      </c>
      <c r="H130" s="1">
        <v>46241.25277777778</v>
      </c>
      <c r="I130" s="1">
        <v>45870</v>
      </c>
      <c r="J130" t="s">
        <v>25</v>
      </c>
      <c r="K130" t="str">
        <v>Available</v>
      </c>
      <c r="L130" t="str">
        <v>Available</v>
      </c>
      <c r="M130" t="str">
        <v>Available</v>
      </c>
      <c r="N130" t="str">
        <f t="shared" si="1"/>
        <v>Complete</v>
      </c>
    </row>
    <row r="131" spans="1:14" x14ac:dyDescent="0.35">
      <c r="A131" t="s">
        <v>35</v>
      </c>
      <c r="B131">
        <v>2025</v>
      </c>
      <c r="C131" t="s">
        <v>31</v>
      </c>
      <c r="D131" t="s">
        <v>27</v>
      </c>
      <c r="E131" s="2">
        <v>18473.05</v>
      </c>
      <c r="F131" s="2">
        <v>71172.22</v>
      </c>
      <c r="G131" s="2">
        <v>8153.35</v>
      </c>
      <c r="H131" s="1">
        <v>46241.25277777778</v>
      </c>
      <c r="I131" s="1">
        <v>45870</v>
      </c>
      <c r="J131" t="s">
        <v>25</v>
      </c>
      <c r="K131" t="str">
        <v>Available</v>
      </c>
      <c r="L131" t="str">
        <v>Available</v>
      </c>
      <c r="M131" t="str">
        <v>Available</v>
      </c>
      <c r="N131" t="str">
        <f t="shared" ref="N131:N194" si="2">IF(AND(NOT(ISBLANK(E131)),NOT(ISBLANK(F131)),NOT(ISBLANK(G131))),"Complete","Missing Data")</f>
        <v>Complete</v>
      </c>
    </row>
    <row r="132" spans="1:14" x14ac:dyDescent="0.35">
      <c r="A132" t="s">
        <v>36</v>
      </c>
      <c r="B132">
        <v>2025</v>
      </c>
      <c r="C132" t="s">
        <v>11</v>
      </c>
      <c r="D132" t="s">
        <v>12</v>
      </c>
      <c r="E132" s="2">
        <v>20207.810000000001</v>
      </c>
      <c r="F132" s="2">
        <v>91112.05</v>
      </c>
      <c r="G132" s="2">
        <v>10309.61</v>
      </c>
      <c r="H132" s="1">
        <v>46241.25277777778</v>
      </c>
      <c r="I132" s="1">
        <v>45901</v>
      </c>
      <c r="J132" t="s">
        <v>13</v>
      </c>
      <c r="K132" t="str">
        <v>Available</v>
      </c>
      <c r="L132" t="str">
        <v>Available</v>
      </c>
      <c r="M132" t="str">
        <v>Available</v>
      </c>
      <c r="N132" t="str">
        <f t="shared" si="2"/>
        <v>Complete</v>
      </c>
    </row>
    <row r="133" spans="1:14" x14ac:dyDescent="0.35">
      <c r="A133" t="s">
        <v>36</v>
      </c>
      <c r="B133">
        <v>2025</v>
      </c>
      <c r="C133" t="s">
        <v>14</v>
      </c>
      <c r="D133" t="s">
        <v>12</v>
      </c>
      <c r="E133" s="2">
        <v>1849</v>
      </c>
      <c r="F133" s="2">
        <v>8149.69</v>
      </c>
      <c r="G133" s="2">
        <v>922.76</v>
      </c>
      <c r="H133" s="1">
        <v>46241.25277777778</v>
      </c>
      <c r="I133" s="1">
        <v>45901</v>
      </c>
      <c r="J133" t="s">
        <v>13</v>
      </c>
      <c r="K133" t="str">
        <v>Available</v>
      </c>
      <c r="L133" t="str">
        <v>Available</v>
      </c>
      <c r="M133" t="str">
        <v>Available</v>
      </c>
      <c r="N133" t="str">
        <f t="shared" si="2"/>
        <v>Complete</v>
      </c>
    </row>
    <row r="134" spans="1:14" x14ac:dyDescent="0.35">
      <c r="A134" t="s">
        <v>36</v>
      </c>
      <c r="B134">
        <v>2025</v>
      </c>
      <c r="C134" t="s">
        <v>15</v>
      </c>
      <c r="D134" t="s">
        <v>12</v>
      </c>
      <c r="E134" s="2">
        <v>0.01</v>
      </c>
      <c r="F134" s="2">
        <v>0.46</v>
      </c>
      <c r="G134" s="2">
        <v>0.05</v>
      </c>
      <c r="H134" s="1">
        <v>46241.25277777778</v>
      </c>
      <c r="I134" s="1">
        <v>45901</v>
      </c>
      <c r="J134" t="s">
        <v>13</v>
      </c>
      <c r="K134" t="str">
        <v>Available</v>
      </c>
      <c r="L134" t="str">
        <v>Available</v>
      </c>
      <c r="M134" t="str">
        <v>Available</v>
      </c>
      <c r="N134" t="str">
        <f t="shared" si="2"/>
        <v>Complete</v>
      </c>
    </row>
    <row r="135" spans="1:14" x14ac:dyDescent="0.35">
      <c r="A135" t="s">
        <v>36</v>
      </c>
      <c r="B135">
        <v>2025</v>
      </c>
      <c r="C135" t="s">
        <v>16</v>
      </c>
      <c r="D135" t="s">
        <v>12</v>
      </c>
      <c r="E135" s="2">
        <v>108.62</v>
      </c>
      <c r="F135" s="2">
        <v>567.48</v>
      </c>
      <c r="G135" s="2">
        <v>64.25</v>
      </c>
      <c r="H135" s="1">
        <v>46241.25277777778</v>
      </c>
      <c r="I135" s="1">
        <v>45901</v>
      </c>
      <c r="J135" t="s">
        <v>13</v>
      </c>
      <c r="K135" t="str">
        <v>Available</v>
      </c>
      <c r="L135" t="str">
        <v>Available</v>
      </c>
      <c r="M135" t="str">
        <v>Available</v>
      </c>
      <c r="N135" t="str">
        <f t="shared" si="2"/>
        <v>Complete</v>
      </c>
    </row>
    <row r="136" spans="1:14" x14ac:dyDescent="0.35">
      <c r="A136" t="s">
        <v>36</v>
      </c>
      <c r="B136">
        <v>2025</v>
      </c>
      <c r="C136" t="s">
        <v>17</v>
      </c>
      <c r="D136" t="s">
        <v>12</v>
      </c>
      <c r="H136" s="1">
        <v>46241.25277777778</v>
      </c>
      <c r="I136" s="1">
        <v>45901</v>
      </c>
      <c r="J136" t="s">
        <v>13</v>
      </c>
      <c r="K136" t="str">
        <v>Missing</v>
      </c>
      <c r="L136" t="str">
        <v>Missing</v>
      </c>
      <c r="M136" t="str">
        <v>Missing</v>
      </c>
      <c r="N136" t="str">
        <f t="shared" si="2"/>
        <v>Missing Data</v>
      </c>
    </row>
    <row r="137" spans="1:14" x14ac:dyDescent="0.35">
      <c r="A137" t="s">
        <v>36</v>
      </c>
      <c r="B137">
        <v>2025</v>
      </c>
      <c r="C137" t="s">
        <v>18</v>
      </c>
      <c r="D137" t="s">
        <v>12</v>
      </c>
      <c r="E137" s="2">
        <v>1.65</v>
      </c>
      <c r="F137" s="2">
        <v>11.53</v>
      </c>
      <c r="G137" s="2">
        <v>1.31</v>
      </c>
      <c r="H137" s="1">
        <v>46241.25277777778</v>
      </c>
      <c r="I137" s="1">
        <v>45901</v>
      </c>
      <c r="J137" t="s">
        <v>13</v>
      </c>
      <c r="K137" t="str">
        <v>Available</v>
      </c>
      <c r="L137" t="str">
        <v>Available</v>
      </c>
      <c r="M137" t="str">
        <v>Available</v>
      </c>
      <c r="N137" t="str">
        <f t="shared" si="2"/>
        <v>Complete</v>
      </c>
    </row>
    <row r="138" spans="1:14" x14ac:dyDescent="0.35">
      <c r="A138" t="s">
        <v>36</v>
      </c>
      <c r="B138">
        <v>2025</v>
      </c>
      <c r="C138" t="s">
        <v>19</v>
      </c>
      <c r="D138" t="s">
        <v>12</v>
      </c>
      <c r="E138" s="2">
        <v>297.55</v>
      </c>
      <c r="F138" s="2">
        <v>2288.7399999999998</v>
      </c>
      <c r="G138" s="2">
        <v>259.17</v>
      </c>
      <c r="H138" s="1">
        <v>46241.25277777778</v>
      </c>
      <c r="I138" s="1">
        <v>45901</v>
      </c>
      <c r="J138" t="s">
        <v>13</v>
      </c>
      <c r="K138" t="str">
        <v>Available</v>
      </c>
      <c r="L138" t="str">
        <v>Available</v>
      </c>
      <c r="M138" t="str">
        <v>Available</v>
      </c>
      <c r="N138" t="str">
        <f t="shared" si="2"/>
        <v>Complete</v>
      </c>
    </row>
    <row r="139" spans="1:14" x14ac:dyDescent="0.35">
      <c r="A139" t="s">
        <v>36</v>
      </c>
      <c r="B139">
        <v>2025</v>
      </c>
      <c r="C139" t="s">
        <v>20</v>
      </c>
      <c r="D139" t="s">
        <v>12</v>
      </c>
      <c r="E139" s="2">
        <v>693.98</v>
      </c>
      <c r="F139" s="2">
        <v>2333.37</v>
      </c>
      <c r="G139" s="2">
        <v>264.25</v>
      </c>
      <c r="H139" s="1">
        <v>46241.25277777778</v>
      </c>
      <c r="I139" s="1">
        <v>45901</v>
      </c>
      <c r="J139" t="s">
        <v>13</v>
      </c>
      <c r="K139" t="str">
        <v>Available</v>
      </c>
      <c r="L139" t="str">
        <v>Available</v>
      </c>
      <c r="M139" t="str">
        <v>Available</v>
      </c>
      <c r="N139" t="str">
        <f t="shared" si="2"/>
        <v>Complete</v>
      </c>
    </row>
    <row r="140" spans="1:14" x14ac:dyDescent="0.35">
      <c r="A140" t="s">
        <v>36</v>
      </c>
      <c r="B140">
        <v>2025</v>
      </c>
      <c r="C140" t="s">
        <v>21</v>
      </c>
      <c r="D140" t="s">
        <v>12</v>
      </c>
      <c r="E140" s="2">
        <v>193.54</v>
      </c>
      <c r="F140" s="2">
        <v>636.73</v>
      </c>
      <c r="G140" s="2">
        <v>72.09</v>
      </c>
      <c r="H140" s="1">
        <v>46241.25277777778</v>
      </c>
      <c r="I140" s="1">
        <v>45901</v>
      </c>
      <c r="J140" t="s">
        <v>13</v>
      </c>
      <c r="K140" t="str">
        <v>Available</v>
      </c>
      <c r="L140" t="str">
        <v>Available</v>
      </c>
      <c r="M140" t="str">
        <v>Available</v>
      </c>
      <c r="N140" t="str">
        <f t="shared" si="2"/>
        <v>Complete</v>
      </c>
    </row>
    <row r="141" spans="1:14" x14ac:dyDescent="0.35">
      <c r="A141" t="s">
        <v>36</v>
      </c>
      <c r="B141">
        <v>2025</v>
      </c>
      <c r="C141" t="s">
        <v>22</v>
      </c>
      <c r="D141" t="s">
        <v>12</v>
      </c>
      <c r="E141" s="2">
        <v>949.48</v>
      </c>
      <c r="F141" s="2">
        <v>1077.8</v>
      </c>
      <c r="G141" s="2">
        <v>122.03</v>
      </c>
      <c r="H141" s="1">
        <v>46241.25277777778</v>
      </c>
      <c r="I141" s="1">
        <v>45901</v>
      </c>
      <c r="J141" t="s">
        <v>13</v>
      </c>
      <c r="K141" t="str">
        <v>Available</v>
      </c>
      <c r="L141" t="str">
        <v>Available</v>
      </c>
      <c r="M141" t="str">
        <v>Available</v>
      </c>
      <c r="N141" t="str">
        <f t="shared" si="2"/>
        <v>Complete</v>
      </c>
    </row>
    <row r="142" spans="1:14" x14ac:dyDescent="0.35">
      <c r="A142" t="s">
        <v>36</v>
      </c>
      <c r="B142">
        <v>2025</v>
      </c>
      <c r="C142" t="s">
        <v>23</v>
      </c>
      <c r="D142" t="s">
        <v>12</v>
      </c>
      <c r="E142" s="2">
        <v>254.1</v>
      </c>
      <c r="F142" s="2">
        <v>1292.42</v>
      </c>
      <c r="G142" s="2">
        <v>146.44999999999999</v>
      </c>
      <c r="H142" s="1">
        <v>46241.25277777778</v>
      </c>
      <c r="I142" s="1">
        <v>45901</v>
      </c>
      <c r="J142" t="s">
        <v>13</v>
      </c>
      <c r="K142" t="str">
        <v>Available</v>
      </c>
      <c r="L142" t="str">
        <v>Available</v>
      </c>
      <c r="M142" t="str">
        <v>Available</v>
      </c>
      <c r="N142" t="str">
        <f t="shared" si="2"/>
        <v>Complete</v>
      </c>
    </row>
    <row r="143" spans="1:14" x14ac:dyDescent="0.35">
      <c r="A143" t="s">
        <v>36</v>
      </c>
      <c r="B143">
        <v>2025</v>
      </c>
      <c r="C143" t="s">
        <v>24</v>
      </c>
      <c r="D143" t="s">
        <v>12</v>
      </c>
      <c r="E143" s="2">
        <v>4347.9399999999996</v>
      </c>
      <c r="F143" s="2">
        <v>16358.22</v>
      </c>
      <c r="G143" s="2">
        <v>1852.36</v>
      </c>
      <c r="H143" s="1">
        <v>46241.25277777778</v>
      </c>
      <c r="I143" s="1">
        <v>45901</v>
      </c>
      <c r="J143" t="s">
        <v>25</v>
      </c>
      <c r="K143" t="str">
        <v>Available</v>
      </c>
      <c r="L143" t="str">
        <v>Available</v>
      </c>
      <c r="M143" t="str">
        <v>Available</v>
      </c>
      <c r="N143" t="str">
        <f t="shared" si="2"/>
        <v>Complete</v>
      </c>
    </row>
    <row r="144" spans="1:14" x14ac:dyDescent="0.35">
      <c r="A144" t="s">
        <v>36</v>
      </c>
      <c r="B144">
        <v>2025</v>
      </c>
      <c r="C144" t="s">
        <v>26</v>
      </c>
      <c r="D144" t="s">
        <v>12</v>
      </c>
      <c r="E144" s="2">
        <v>24555.75</v>
      </c>
      <c r="F144" s="2">
        <v>107470.27</v>
      </c>
      <c r="G144" s="2">
        <v>12161.97</v>
      </c>
      <c r="H144" s="1">
        <v>46241.25277777778</v>
      </c>
      <c r="I144" s="1">
        <v>45901</v>
      </c>
      <c r="J144" t="s">
        <v>25</v>
      </c>
      <c r="K144" t="str">
        <v>Available</v>
      </c>
      <c r="L144" t="str">
        <v>Available</v>
      </c>
      <c r="M144" t="str">
        <v>Available</v>
      </c>
      <c r="N144" t="str">
        <f t="shared" si="2"/>
        <v>Complete</v>
      </c>
    </row>
    <row r="145" spans="1:14" x14ac:dyDescent="0.35">
      <c r="A145" t="s">
        <v>36</v>
      </c>
      <c r="B145">
        <v>2025</v>
      </c>
      <c r="C145" t="s">
        <v>14</v>
      </c>
      <c r="D145" t="s">
        <v>27</v>
      </c>
      <c r="E145" s="2">
        <v>48.19</v>
      </c>
      <c r="F145" s="2">
        <v>267.67</v>
      </c>
      <c r="G145" s="2">
        <v>31.16</v>
      </c>
      <c r="H145" s="1">
        <v>46241.25277777778</v>
      </c>
      <c r="I145" s="1">
        <v>45901</v>
      </c>
      <c r="J145" t="s">
        <v>13</v>
      </c>
      <c r="K145" t="str">
        <v>Available</v>
      </c>
      <c r="L145" t="str">
        <v>Available</v>
      </c>
      <c r="M145" t="str">
        <v>Available</v>
      </c>
      <c r="N145" t="str">
        <f t="shared" si="2"/>
        <v>Complete</v>
      </c>
    </row>
    <row r="146" spans="1:14" x14ac:dyDescent="0.35">
      <c r="A146" t="s">
        <v>36</v>
      </c>
      <c r="B146">
        <v>2025</v>
      </c>
      <c r="C146" t="s">
        <v>15</v>
      </c>
      <c r="D146" t="s">
        <v>27</v>
      </c>
      <c r="E146" s="2">
        <v>1569.36</v>
      </c>
      <c r="F146" s="2">
        <v>9949.76</v>
      </c>
      <c r="G146" s="2">
        <v>1114.1500000000001</v>
      </c>
      <c r="H146" s="1">
        <v>46241.25277777778</v>
      </c>
      <c r="I146" s="1">
        <v>45901</v>
      </c>
      <c r="J146" t="s">
        <v>13</v>
      </c>
      <c r="K146" t="str">
        <v>Available</v>
      </c>
      <c r="L146" t="str">
        <v>Available</v>
      </c>
      <c r="M146" t="str">
        <v>Available</v>
      </c>
      <c r="N146" t="str">
        <f t="shared" si="2"/>
        <v>Complete</v>
      </c>
    </row>
    <row r="147" spans="1:14" x14ac:dyDescent="0.35">
      <c r="A147" t="s">
        <v>36</v>
      </c>
      <c r="B147">
        <v>2025</v>
      </c>
      <c r="C147" t="s">
        <v>16</v>
      </c>
      <c r="D147" t="s">
        <v>27</v>
      </c>
      <c r="E147" s="2">
        <v>447.61</v>
      </c>
      <c r="F147" s="2">
        <v>2306.04</v>
      </c>
      <c r="G147" s="2">
        <v>259.51</v>
      </c>
      <c r="H147" s="1">
        <v>46241.25277777778</v>
      </c>
      <c r="I147" s="1">
        <v>45901</v>
      </c>
      <c r="J147" t="s">
        <v>13</v>
      </c>
      <c r="K147" t="str">
        <v>Available</v>
      </c>
      <c r="L147" t="str">
        <v>Available</v>
      </c>
      <c r="M147" t="str">
        <v>Available</v>
      </c>
      <c r="N147" t="str">
        <f t="shared" si="2"/>
        <v>Complete</v>
      </c>
    </row>
    <row r="148" spans="1:14" x14ac:dyDescent="0.35">
      <c r="A148" t="s">
        <v>36</v>
      </c>
      <c r="B148">
        <v>2025</v>
      </c>
      <c r="C148" t="s">
        <v>17</v>
      </c>
      <c r="D148" t="s">
        <v>27</v>
      </c>
      <c r="E148" s="2">
        <v>688.67</v>
      </c>
      <c r="F148" s="2">
        <v>4138.21</v>
      </c>
      <c r="G148" s="2">
        <v>461.09</v>
      </c>
      <c r="H148" s="1">
        <v>46241.25277777778</v>
      </c>
      <c r="I148" s="1">
        <v>45901</v>
      </c>
      <c r="J148" t="s">
        <v>13</v>
      </c>
      <c r="K148" t="str">
        <v>Available</v>
      </c>
      <c r="L148" t="str">
        <v>Available</v>
      </c>
      <c r="M148" t="str">
        <v>Available</v>
      </c>
      <c r="N148" t="str">
        <f t="shared" si="2"/>
        <v>Complete</v>
      </c>
    </row>
    <row r="149" spans="1:14" x14ac:dyDescent="0.35">
      <c r="A149" t="s">
        <v>36</v>
      </c>
      <c r="B149">
        <v>2025</v>
      </c>
      <c r="C149" t="s">
        <v>28</v>
      </c>
      <c r="D149" t="s">
        <v>27</v>
      </c>
      <c r="E149" s="2">
        <v>1.28</v>
      </c>
      <c r="F149" s="2">
        <v>8.5399999999999991</v>
      </c>
      <c r="G149" s="2">
        <v>0.99</v>
      </c>
      <c r="H149" s="1">
        <v>46241.25277777778</v>
      </c>
      <c r="I149" s="1">
        <v>45901</v>
      </c>
      <c r="J149" t="s">
        <v>13</v>
      </c>
      <c r="K149" t="str">
        <v>Available</v>
      </c>
      <c r="L149" t="str">
        <v>Available</v>
      </c>
      <c r="M149" t="str">
        <v>Available</v>
      </c>
      <c r="N149" t="str">
        <f t="shared" si="2"/>
        <v>Complete</v>
      </c>
    </row>
    <row r="150" spans="1:14" x14ac:dyDescent="0.35">
      <c r="A150" t="s">
        <v>36</v>
      </c>
      <c r="B150">
        <v>2025</v>
      </c>
      <c r="C150" t="s">
        <v>18</v>
      </c>
      <c r="D150" t="s">
        <v>27</v>
      </c>
      <c r="E150" s="2">
        <v>3105.09</v>
      </c>
      <c r="F150" s="2">
        <v>18118.86</v>
      </c>
      <c r="G150" s="2">
        <v>2033.7</v>
      </c>
      <c r="H150" s="1">
        <v>46241.25277777778</v>
      </c>
      <c r="I150" s="1">
        <v>45901</v>
      </c>
      <c r="J150" t="s">
        <v>13</v>
      </c>
      <c r="K150" t="str">
        <v>Available</v>
      </c>
      <c r="L150" t="str">
        <v>Available</v>
      </c>
      <c r="M150" t="str">
        <v>Available</v>
      </c>
      <c r="N150" t="str">
        <f t="shared" si="2"/>
        <v>Complete</v>
      </c>
    </row>
    <row r="151" spans="1:14" x14ac:dyDescent="0.35">
      <c r="A151" t="s">
        <v>36</v>
      </c>
      <c r="B151">
        <v>2025</v>
      </c>
      <c r="C151" t="s">
        <v>19</v>
      </c>
      <c r="D151" t="s">
        <v>27</v>
      </c>
      <c r="E151" s="2">
        <v>0.85</v>
      </c>
      <c r="F151" s="2">
        <v>10.89</v>
      </c>
      <c r="G151" s="2">
        <v>1.23</v>
      </c>
      <c r="H151" s="1">
        <v>46241.25277777778</v>
      </c>
      <c r="I151" s="1">
        <v>45901</v>
      </c>
      <c r="J151" t="s">
        <v>13</v>
      </c>
      <c r="K151" t="str">
        <v>Available</v>
      </c>
      <c r="L151" t="str">
        <v>Available</v>
      </c>
      <c r="M151" t="str">
        <v>Available</v>
      </c>
      <c r="N151" t="str">
        <f t="shared" si="2"/>
        <v>Complete</v>
      </c>
    </row>
    <row r="152" spans="1:14" x14ac:dyDescent="0.35">
      <c r="A152" t="s">
        <v>36</v>
      </c>
      <c r="B152">
        <v>2025</v>
      </c>
      <c r="C152" t="s">
        <v>20</v>
      </c>
      <c r="D152" t="s">
        <v>27</v>
      </c>
      <c r="E152" s="2">
        <v>196.58</v>
      </c>
      <c r="F152" s="2">
        <v>650.20000000000005</v>
      </c>
      <c r="G152" s="2">
        <v>73.28</v>
      </c>
      <c r="H152" s="1">
        <v>46241.25277777778</v>
      </c>
      <c r="I152" s="1">
        <v>45901</v>
      </c>
      <c r="J152" t="s">
        <v>13</v>
      </c>
      <c r="K152" t="str">
        <v>Available</v>
      </c>
      <c r="L152" t="str">
        <v>Available</v>
      </c>
      <c r="M152" t="str">
        <v>Available</v>
      </c>
      <c r="N152" t="str">
        <f t="shared" si="2"/>
        <v>Complete</v>
      </c>
    </row>
    <row r="153" spans="1:14" x14ac:dyDescent="0.35">
      <c r="A153" t="s">
        <v>36</v>
      </c>
      <c r="B153">
        <v>2025</v>
      </c>
      <c r="C153" t="s">
        <v>21</v>
      </c>
      <c r="D153" t="s">
        <v>27</v>
      </c>
      <c r="E153" s="2">
        <v>1.28</v>
      </c>
      <c r="F153" s="2">
        <v>6.81</v>
      </c>
      <c r="G153" s="2">
        <v>0.77</v>
      </c>
      <c r="H153" s="1">
        <v>46241.25277777778</v>
      </c>
      <c r="I153" s="1">
        <v>45901</v>
      </c>
      <c r="J153" t="s">
        <v>13</v>
      </c>
      <c r="K153" t="str">
        <v>Available</v>
      </c>
      <c r="L153" t="str">
        <v>Available</v>
      </c>
      <c r="M153" t="str">
        <v>Available</v>
      </c>
      <c r="N153" t="str">
        <f t="shared" si="2"/>
        <v>Complete</v>
      </c>
    </row>
    <row r="154" spans="1:14" x14ac:dyDescent="0.35">
      <c r="A154" t="s">
        <v>36</v>
      </c>
      <c r="B154">
        <v>2025</v>
      </c>
      <c r="C154" t="s">
        <v>29</v>
      </c>
      <c r="D154" t="s">
        <v>27</v>
      </c>
      <c r="H154" s="1">
        <v>46241.25277777778</v>
      </c>
      <c r="I154" s="1">
        <v>45901</v>
      </c>
      <c r="J154" t="s">
        <v>13</v>
      </c>
      <c r="K154" t="str">
        <v>Missing</v>
      </c>
      <c r="L154" t="str">
        <v>Missing</v>
      </c>
      <c r="M154" t="str">
        <v>Missing</v>
      </c>
      <c r="N154" t="str">
        <f t="shared" si="2"/>
        <v>Missing Data</v>
      </c>
    </row>
    <row r="155" spans="1:14" x14ac:dyDescent="0.35">
      <c r="A155" t="s">
        <v>36</v>
      </c>
      <c r="B155">
        <v>2025</v>
      </c>
      <c r="C155" t="s">
        <v>23</v>
      </c>
      <c r="D155" t="s">
        <v>27</v>
      </c>
      <c r="E155" s="2">
        <v>124.84</v>
      </c>
      <c r="F155" s="2">
        <v>638.01</v>
      </c>
      <c r="G155" s="2">
        <v>72.2</v>
      </c>
      <c r="H155" s="1">
        <v>46241.25277777778</v>
      </c>
      <c r="I155" s="1">
        <v>45901</v>
      </c>
      <c r="J155" t="s">
        <v>13</v>
      </c>
      <c r="K155" t="str">
        <v>Available</v>
      </c>
      <c r="L155" t="str">
        <v>Available</v>
      </c>
      <c r="M155" t="str">
        <v>Available</v>
      </c>
      <c r="N155" t="str">
        <f t="shared" si="2"/>
        <v>Complete</v>
      </c>
    </row>
    <row r="156" spans="1:14" x14ac:dyDescent="0.35">
      <c r="A156" t="s">
        <v>36</v>
      </c>
      <c r="B156">
        <v>2025</v>
      </c>
      <c r="C156" t="s">
        <v>30</v>
      </c>
      <c r="D156" t="s">
        <v>27</v>
      </c>
      <c r="E156" s="2">
        <v>6183.75</v>
      </c>
      <c r="F156" s="2">
        <v>36094.980000000003</v>
      </c>
      <c r="G156" s="2">
        <v>4048.09</v>
      </c>
      <c r="H156" s="1">
        <v>46241.25277777778</v>
      </c>
      <c r="I156" s="1">
        <v>45901</v>
      </c>
      <c r="J156" t="s">
        <v>25</v>
      </c>
      <c r="K156" t="str">
        <v>Available</v>
      </c>
      <c r="L156" t="str">
        <v>Available</v>
      </c>
      <c r="M156" t="str">
        <v>Available</v>
      </c>
      <c r="N156" t="str">
        <f t="shared" si="2"/>
        <v>Complete</v>
      </c>
    </row>
    <row r="157" spans="1:14" x14ac:dyDescent="0.35">
      <c r="A157" t="s">
        <v>36</v>
      </c>
      <c r="B157">
        <v>2025</v>
      </c>
      <c r="C157" t="s">
        <v>31</v>
      </c>
      <c r="D157" t="s">
        <v>27</v>
      </c>
      <c r="E157" s="2">
        <v>18372</v>
      </c>
      <c r="F157" s="2">
        <v>71375.289999999994</v>
      </c>
      <c r="G157" s="2">
        <v>8113.88</v>
      </c>
      <c r="H157" s="1">
        <v>46241.25277777778</v>
      </c>
      <c r="I157" s="1">
        <v>45901</v>
      </c>
      <c r="J157" t="s">
        <v>25</v>
      </c>
      <c r="K157" t="str">
        <v>Available</v>
      </c>
      <c r="L157" t="str">
        <v>Available</v>
      </c>
      <c r="M157" t="str">
        <v>Available</v>
      </c>
      <c r="N157" t="str">
        <f t="shared" si="2"/>
        <v>Complete</v>
      </c>
    </row>
    <row r="158" spans="1:14" x14ac:dyDescent="0.35">
      <c r="A158" t="s">
        <v>37</v>
      </c>
      <c r="B158">
        <v>2025</v>
      </c>
      <c r="C158" t="s">
        <v>11</v>
      </c>
      <c r="D158" t="s">
        <v>12</v>
      </c>
      <c r="E158" s="2">
        <v>21005.46</v>
      </c>
      <c r="F158" s="2">
        <v>90832.16</v>
      </c>
      <c r="G158" s="2">
        <v>10263.6</v>
      </c>
      <c r="H158" s="1">
        <v>46241.25277777778</v>
      </c>
      <c r="I158" s="1">
        <v>45931</v>
      </c>
      <c r="J158" t="s">
        <v>13</v>
      </c>
      <c r="K158" t="str">
        <v>Available</v>
      </c>
      <c r="L158" t="str">
        <v>Available</v>
      </c>
      <c r="M158" t="str">
        <v>Available</v>
      </c>
      <c r="N158" t="str">
        <f t="shared" si="2"/>
        <v>Complete</v>
      </c>
    </row>
    <row r="159" spans="1:14" x14ac:dyDescent="0.35">
      <c r="A159" t="s">
        <v>37</v>
      </c>
      <c r="B159">
        <v>2025</v>
      </c>
      <c r="C159" t="s">
        <v>14</v>
      </c>
      <c r="D159" t="s">
        <v>12</v>
      </c>
      <c r="E159" s="2">
        <v>1916.75</v>
      </c>
      <c r="F159" s="2">
        <v>8174.95</v>
      </c>
      <c r="G159" s="2">
        <v>923.29</v>
      </c>
      <c r="H159" s="1">
        <v>46241.25277777778</v>
      </c>
      <c r="I159" s="1">
        <v>45931</v>
      </c>
      <c r="J159" t="s">
        <v>13</v>
      </c>
      <c r="K159" t="str">
        <v>Available</v>
      </c>
      <c r="L159" t="str">
        <v>Available</v>
      </c>
      <c r="M159" t="str">
        <v>Available</v>
      </c>
      <c r="N159" t="str">
        <f t="shared" si="2"/>
        <v>Complete</v>
      </c>
    </row>
    <row r="160" spans="1:14" x14ac:dyDescent="0.35">
      <c r="A160" t="s">
        <v>37</v>
      </c>
      <c r="B160">
        <v>2025</v>
      </c>
      <c r="C160" t="s">
        <v>15</v>
      </c>
      <c r="D160" t="s">
        <v>12</v>
      </c>
      <c r="H160" s="1">
        <v>46241.25277777778</v>
      </c>
      <c r="I160" s="1">
        <v>45931</v>
      </c>
      <c r="J160" t="s">
        <v>13</v>
      </c>
      <c r="K160" t="str">
        <v>Missing</v>
      </c>
      <c r="L160" t="str">
        <v>Missing</v>
      </c>
      <c r="M160" t="str">
        <v>Missing</v>
      </c>
      <c r="N160" t="str">
        <f t="shared" si="2"/>
        <v>Missing Data</v>
      </c>
    </row>
    <row r="161" spans="1:14" x14ac:dyDescent="0.35">
      <c r="A161" t="s">
        <v>37</v>
      </c>
      <c r="B161">
        <v>2025</v>
      </c>
      <c r="C161" t="s">
        <v>16</v>
      </c>
      <c r="D161" t="s">
        <v>12</v>
      </c>
      <c r="E161" s="2">
        <v>113.55</v>
      </c>
      <c r="F161" s="2">
        <v>575.36</v>
      </c>
      <c r="G161" s="2">
        <v>65.069999999999993</v>
      </c>
      <c r="H161" s="1">
        <v>46241.25277777778</v>
      </c>
      <c r="I161" s="1">
        <v>45931</v>
      </c>
      <c r="J161" t="s">
        <v>13</v>
      </c>
      <c r="K161" t="str">
        <v>Available</v>
      </c>
      <c r="L161" t="str">
        <v>Available</v>
      </c>
      <c r="M161" t="str">
        <v>Available</v>
      </c>
      <c r="N161" t="str">
        <f t="shared" si="2"/>
        <v>Complete</v>
      </c>
    </row>
    <row r="162" spans="1:14" x14ac:dyDescent="0.35">
      <c r="A162" t="s">
        <v>37</v>
      </c>
      <c r="B162">
        <v>2025</v>
      </c>
      <c r="C162" t="s">
        <v>17</v>
      </c>
      <c r="D162" t="s">
        <v>12</v>
      </c>
      <c r="H162" s="1">
        <v>46241.25277777778</v>
      </c>
      <c r="I162" s="1">
        <v>45931</v>
      </c>
      <c r="J162" t="s">
        <v>13</v>
      </c>
      <c r="K162" t="str">
        <v>Missing</v>
      </c>
      <c r="L162" t="str">
        <v>Missing</v>
      </c>
      <c r="M162" t="str">
        <v>Missing</v>
      </c>
      <c r="N162" t="str">
        <f t="shared" si="2"/>
        <v>Missing Data</v>
      </c>
    </row>
    <row r="163" spans="1:14" x14ac:dyDescent="0.35">
      <c r="A163" t="s">
        <v>37</v>
      </c>
      <c r="B163">
        <v>2025</v>
      </c>
      <c r="C163" t="s">
        <v>18</v>
      </c>
      <c r="D163" t="s">
        <v>12</v>
      </c>
      <c r="E163" s="2">
        <v>4.26</v>
      </c>
      <c r="F163" s="2">
        <v>27.22</v>
      </c>
      <c r="G163" s="2">
        <v>3.08</v>
      </c>
      <c r="H163" s="1">
        <v>46241.25277777778</v>
      </c>
      <c r="I163" s="1">
        <v>45931</v>
      </c>
      <c r="J163" t="s">
        <v>13</v>
      </c>
      <c r="K163" t="str">
        <v>Available</v>
      </c>
      <c r="L163" t="str">
        <v>Available</v>
      </c>
      <c r="M163" t="str">
        <v>Available</v>
      </c>
      <c r="N163" t="str">
        <f t="shared" si="2"/>
        <v>Complete</v>
      </c>
    </row>
    <row r="164" spans="1:14" x14ac:dyDescent="0.35">
      <c r="A164" t="s">
        <v>37</v>
      </c>
      <c r="B164">
        <v>2025</v>
      </c>
      <c r="C164" t="s">
        <v>19</v>
      </c>
      <c r="D164" t="s">
        <v>12</v>
      </c>
      <c r="E164" s="2">
        <v>288.39999999999998</v>
      </c>
      <c r="F164" s="2">
        <v>2223.94</v>
      </c>
      <c r="G164" s="2">
        <v>251.54</v>
      </c>
      <c r="H164" s="1">
        <v>46241.25277777778</v>
      </c>
      <c r="I164" s="1">
        <v>45931</v>
      </c>
      <c r="J164" t="s">
        <v>13</v>
      </c>
      <c r="K164" t="str">
        <v>Available</v>
      </c>
      <c r="L164" t="str">
        <v>Available</v>
      </c>
      <c r="M164" t="str">
        <v>Available</v>
      </c>
      <c r="N164" t="str">
        <f t="shared" si="2"/>
        <v>Complete</v>
      </c>
    </row>
    <row r="165" spans="1:14" x14ac:dyDescent="0.35">
      <c r="A165" t="s">
        <v>37</v>
      </c>
      <c r="B165">
        <v>2025</v>
      </c>
      <c r="C165" t="s">
        <v>20</v>
      </c>
      <c r="D165" t="s">
        <v>12</v>
      </c>
      <c r="E165" s="2">
        <v>622.22</v>
      </c>
      <c r="F165" s="2">
        <v>2049.02</v>
      </c>
      <c r="G165" s="2">
        <v>231.6</v>
      </c>
      <c r="H165" s="1">
        <v>46241.25277777778</v>
      </c>
      <c r="I165" s="1">
        <v>45931</v>
      </c>
      <c r="J165" t="s">
        <v>13</v>
      </c>
      <c r="K165" t="str">
        <v>Available</v>
      </c>
      <c r="L165" t="str">
        <v>Available</v>
      </c>
      <c r="M165" t="str">
        <v>Available</v>
      </c>
      <c r="N165" t="str">
        <f t="shared" si="2"/>
        <v>Complete</v>
      </c>
    </row>
    <row r="166" spans="1:14" x14ac:dyDescent="0.35">
      <c r="A166" t="s">
        <v>37</v>
      </c>
      <c r="B166">
        <v>2025</v>
      </c>
      <c r="C166" t="s">
        <v>21</v>
      </c>
      <c r="D166" t="s">
        <v>12</v>
      </c>
      <c r="E166" s="2">
        <v>194.14</v>
      </c>
      <c r="F166" s="2">
        <v>631.38</v>
      </c>
      <c r="G166" s="2">
        <v>71.400000000000006</v>
      </c>
      <c r="H166" s="1">
        <v>46241.25277777778</v>
      </c>
      <c r="I166" s="1">
        <v>45931</v>
      </c>
      <c r="J166" t="s">
        <v>13</v>
      </c>
      <c r="K166" t="str">
        <v>Available</v>
      </c>
      <c r="L166" t="str">
        <v>Available</v>
      </c>
      <c r="M166" t="str">
        <v>Available</v>
      </c>
      <c r="N166" t="str">
        <f t="shared" si="2"/>
        <v>Complete</v>
      </c>
    </row>
    <row r="167" spans="1:14" x14ac:dyDescent="0.35">
      <c r="A167" t="s">
        <v>37</v>
      </c>
      <c r="B167">
        <v>2025</v>
      </c>
      <c r="C167" t="s">
        <v>22</v>
      </c>
      <c r="D167" t="s">
        <v>12</v>
      </c>
      <c r="E167" s="2">
        <v>905.73</v>
      </c>
      <c r="F167" s="2">
        <v>1125.8499999999999</v>
      </c>
      <c r="G167" s="2">
        <v>127.34</v>
      </c>
      <c r="H167" s="1">
        <v>46241.25277777778</v>
      </c>
      <c r="I167" s="1">
        <v>45931</v>
      </c>
      <c r="J167" t="s">
        <v>13</v>
      </c>
      <c r="K167" t="str">
        <v>Available</v>
      </c>
      <c r="L167" t="str">
        <v>Available</v>
      </c>
      <c r="M167" t="str">
        <v>Available</v>
      </c>
      <c r="N167" t="str">
        <f t="shared" si="2"/>
        <v>Complete</v>
      </c>
    </row>
    <row r="168" spans="1:14" x14ac:dyDescent="0.35">
      <c r="A168" t="s">
        <v>37</v>
      </c>
      <c r="B168">
        <v>2025</v>
      </c>
      <c r="C168" t="s">
        <v>23</v>
      </c>
      <c r="D168" t="s">
        <v>12</v>
      </c>
      <c r="E168" s="2">
        <v>81.900000000000006</v>
      </c>
      <c r="F168" s="2">
        <v>612.07000000000005</v>
      </c>
      <c r="G168" s="2">
        <v>69.23</v>
      </c>
      <c r="H168" s="1">
        <v>46241.25277777778</v>
      </c>
      <c r="I168" s="1">
        <v>45931</v>
      </c>
      <c r="J168" t="s">
        <v>13</v>
      </c>
      <c r="K168" t="str">
        <v>Available</v>
      </c>
      <c r="L168" t="str">
        <v>Available</v>
      </c>
      <c r="M168" t="str">
        <v>Available</v>
      </c>
      <c r="N168" t="str">
        <f t="shared" si="2"/>
        <v>Complete</v>
      </c>
    </row>
    <row r="169" spans="1:14" x14ac:dyDescent="0.35">
      <c r="A169" t="s">
        <v>37</v>
      </c>
      <c r="B169">
        <v>2025</v>
      </c>
      <c r="C169" t="s">
        <v>24</v>
      </c>
      <c r="D169" t="s">
        <v>12</v>
      </c>
      <c r="E169" s="2">
        <v>4126.96</v>
      </c>
      <c r="F169" s="2">
        <v>15419.8</v>
      </c>
      <c r="G169" s="2">
        <v>1742.54</v>
      </c>
      <c r="H169" s="1">
        <v>46241.25277777778</v>
      </c>
      <c r="I169" s="1">
        <v>45931</v>
      </c>
      <c r="J169" t="s">
        <v>25</v>
      </c>
      <c r="K169" t="str">
        <v>Available</v>
      </c>
      <c r="L169" t="str">
        <v>Available</v>
      </c>
      <c r="M169" t="str">
        <v>Available</v>
      </c>
      <c r="N169" t="str">
        <f t="shared" si="2"/>
        <v>Complete</v>
      </c>
    </row>
    <row r="170" spans="1:14" x14ac:dyDescent="0.35">
      <c r="A170" t="s">
        <v>37</v>
      </c>
      <c r="B170">
        <v>2025</v>
      </c>
      <c r="C170" t="s">
        <v>26</v>
      </c>
      <c r="D170" t="s">
        <v>12</v>
      </c>
      <c r="E170" s="2">
        <v>25132.42</v>
      </c>
      <c r="F170" s="2">
        <v>106251.96</v>
      </c>
      <c r="G170" s="2">
        <v>12006.15</v>
      </c>
      <c r="H170" s="1">
        <v>46241.25277777778</v>
      </c>
      <c r="I170" s="1">
        <v>45931</v>
      </c>
      <c r="J170" t="s">
        <v>25</v>
      </c>
      <c r="K170" t="str">
        <v>Available</v>
      </c>
      <c r="L170" t="str">
        <v>Available</v>
      </c>
      <c r="M170" t="str">
        <v>Available</v>
      </c>
      <c r="N170" t="str">
        <f t="shared" si="2"/>
        <v>Complete</v>
      </c>
    </row>
    <row r="171" spans="1:14" x14ac:dyDescent="0.35">
      <c r="A171" t="s">
        <v>37</v>
      </c>
      <c r="B171">
        <v>2025</v>
      </c>
      <c r="C171" t="s">
        <v>14</v>
      </c>
      <c r="D171" t="s">
        <v>27</v>
      </c>
      <c r="E171" s="2">
        <v>42.54</v>
      </c>
      <c r="F171" s="2">
        <v>238.12</v>
      </c>
      <c r="G171" s="2">
        <v>27.71</v>
      </c>
      <c r="H171" s="1">
        <v>46241.25277777778</v>
      </c>
      <c r="I171" s="1">
        <v>45931</v>
      </c>
      <c r="J171" t="s">
        <v>13</v>
      </c>
      <c r="K171" t="str">
        <v>Available</v>
      </c>
      <c r="L171" t="str">
        <v>Available</v>
      </c>
      <c r="M171" t="str">
        <v>Available</v>
      </c>
      <c r="N171" t="str">
        <f t="shared" si="2"/>
        <v>Complete</v>
      </c>
    </row>
    <row r="172" spans="1:14" x14ac:dyDescent="0.35">
      <c r="A172" t="s">
        <v>37</v>
      </c>
      <c r="B172">
        <v>2025</v>
      </c>
      <c r="C172" t="s">
        <v>15</v>
      </c>
      <c r="D172" t="s">
        <v>27</v>
      </c>
      <c r="E172" s="2">
        <v>1372.46</v>
      </c>
      <c r="F172" s="2">
        <v>8261.9500000000007</v>
      </c>
      <c r="G172" s="2">
        <v>924.95</v>
      </c>
      <c r="H172" s="1">
        <v>46241.25277777778</v>
      </c>
      <c r="I172" s="1">
        <v>45931</v>
      </c>
      <c r="J172" t="s">
        <v>13</v>
      </c>
      <c r="K172" t="str">
        <v>Available</v>
      </c>
      <c r="L172" t="str">
        <v>Available</v>
      </c>
      <c r="M172" t="str">
        <v>Available</v>
      </c>
      <c r="N172" t="str">
        <f t="shared" si="2"/>
        <v>Complete</v>
      </c>
    </row>
    <row r="173" spans="1:14" x14ac:dyDescent="0.35">
      <c r="A173" t="s">
        <v>37</v>
      </c>
      <c r="B173">
        <v>2025</v>
      </c>
      <c r="C173" t="s">
        <v>16</v>
      </c>
      <c r="D173" t="s">
        <v>27</v>
      </c>
      <c r="E173" s="2">
        <v>281.49</v>
      </c>
      <c r="F173" s="2">
        <v>1386.27</v>
      </c>
      <c r="G173" s="2">
        <v>155.4</v>
      </c>
      <c r="H173" s="1">
        <v>46241.25277777778</v>
      </c>
      <c r="I173" s="1">
        <v>45931</v>
      </c>
      <c r="J173" t="s">
        <v>13</v>
      </c>
      <c r="K173" t="str">
        <v>Available</v>
      </c>
      <c r="L173" t="str">
        <v>Available</v>
      </c>
      <c r="M173" t="str">
        <v>Available</v>
      </c>
      <c r="N173" t="str">
        <f t="shared" si="2"/>
        <v>Complete</v>
      </c>
    </row>
    <row r="174" spans="1:14" x14ac:dyDescent="0.35">
      <c r="A174" t="s">
        <v>37</v>
      </c>
      <c r="B174">
        <v>2025</v>
      </c>
      <c r="C174" t="s">
        <v>17</v>
      </c>
      <c r="D174" t="s">
        <v>27</v>
      </c>
      <c r="E174" s="2">
        <v>506.07</v>
      </c>
      <c r="F174" s="2">
        <v>3052.17</v>
      </c>
      <c r="G174" s="2">
        <v>340.85</v>
      </c>
      <c r="H174" s="1">
        <v>46241.25277777778</v>
      </c>
      <c r="I174" s="1">
        <v>45931</v>
      </c>
      <c r="J174" t="s">
        <v>13</v>
      </c>
      <c r="K174" t="str">
        <v>Available</v>
      </c>
      <c r="L174" t="str">
        <v>Available</v>
      </c>
      <c r="M174" t="str">
        <v>Available</v>
      </c>
      <c r="N174" t="str">
        <f t="shared" si="2"/>
        <v>Complete</v>
      </c>
    </row>
    <row r="175" spans="1:14" x14ac:dyDescent="0.35">
      <c r="A175" t="s">
        <v>37</v>
      </c>
      <c r="B175">
        <v>2025</v>
      </c>
      <c r="C175" t="s">
        <v>28</v>
      </c>
      <c r="D175" t="s">
        <v>27</v>
      </c>
      <c r="E175" s="2">
        <v>1.44</v>
      </c>
      <c r="F175" s="2">
        <v>10.039999999999999</v>
      </c>
      <c r="G175" s="2">
        <v>1.17</v>
      </c>
      <c r="H175" s="1">
        <v>46241.25277777778</v>
      </c>
      <c r="I175" s="1">
        <v>45931</v>
      </c>
      <c r="J175" t="s">
        <v>13</v>
      </c>
      <c r="K175" t="str">
        <v>Available</v>
      </c>
      <c r="L175" t="str">
        <v>Available</v>
      </c>
      <c r="M175" t="str">
        <v>Available</v>
      </c>
      <c r="N175" t="str">
        <f t="shared" si="2"/>
        <v>Complete</v>
      </c>
    </row>
    <row r="176" spans="1:14" x14ac:dyDescent="0.35">
      <c r="A176" t="s">
        <v>37</v>
      </c>
      <c r="B176">
        <v>2025</v>
      </c>
      <c r="C176" t="s">
        <v>18</v>
      </c>
      <c r="D176" t="s">
        <v>27</v>
      </c>
      <c r="E176" s="2">
        <v>2706.94</v>
      </c>
      <c r="F176" s="2">
        <v>15715.17</v>
      </c>
      <c r="G176" s="2">
        <v>1758.83</v>
      </c>
      <c r="H176" s="1">
        <v>46241.25277777778</v>
      </c>
      <c r="I176" s="1">
        <v>45931</v>
      </c>
      <c r="J176" t="s">
        <v>13</v>
      </c>
      <c r="K176" t="str">
        <v>Available</v>
      </c>
      <c r="L176" t="str">
        <v>Available</v>
      </c>
      <c r="M176" t="str">
        <v>Available</v>
      </c>
      <c r="N176" t="str">
        <f t="shared" si="2"/>
        <v>Complete</v>
      </c>
    </row>
    <row r="177" spans="1:14" x14ac:dyDescent="0.35">
      <c r="A177" t="s">
        <v>37</v>
      </c>
      <c r="B177">
        <v>2025</v>
      </c>
      <c r="C177" t="s">
        <v>19</v>
      </c>
      <c r="D177" t="s">
        <v>27</v>
      </c>
      <c r="E177" s="2">
        <v>0.69</v>
      </c>
      <c r="F177" s="2">
        <v>11.63</v>
      </c>
      <c r="G177" s="2">
        <v>1.31</v>
      </c>
      <c r="H177" s="1">
        <v>46241.25277777778</v>
      </c>
      <c r="I177" s="1">
        <v>45931</v>
      </c>
      <c r="J177" t="s">
        <v>13</v>
      </c>
      <c r="K177" t="str">
        <v>Available</v>
      </c>
      <c r="L177" t="str">
        <v>Available</v>
      </c>
      <c r="M177" t="str">
        <v>Available</v>
      </c>
      <c r="N177" t="str">
        <f t="shared" si="2"/>
        <v>Complete</v>
      </c>
    </row>
    <row r="178" spans="1:14" x14ac:dyDescent="0.35">
      <c r="A178" t="s">
        <v>37</v>
      </c>
      <c r="B178">
        <v>2025</v>
      </c>
      <c r="C178" t="s">
        <v>20</v>
      </c>
      <c r="D178" t="s">
        <v>27</v>
      </c>
      <c r="E178" s="2">
        <v>70.56</v>
      </c>
      <c r="F178" s="2">
        <v>200.34</v>
      </c>
      <c r="G178" s="2">
        <v>22.68</v>
      </c>
      <c r="H178" s="1">
        <v>46241.25277777778</v>
      </c>
      <c r="I178" s="1">
        <v>45931</v>
      </c>
      <c r="J178" t="s">
        <v>13</v>
      </c>
      <c r="K178" t="str">
        <v>Available</v>
      </c>
      <c r="L178" t="str">
        <v>Available</v>
      </c>
      <c r="M178" t="str">
        <v>Available</v>
      </c>
      <c r="N178" t="str">
        <f t="shared" si="2"/>
        <v>Complete</v>
      </c>
    </row>
    <row r="179" spans="1:14" x14ac:dyDescent="0.35">
      <c r="A179" t="s">
        <v>37</v>
      </c>
      <c r="B179">
        <v>2025</v>
      </c>
      <c r="C179" t="s">
        <v>21</v>
      </c>
      <c r="D179" t="s">
        <v>27</v>
      </c>
      <c r="E179" s="2">
        <v>0.7</v>
      </c>
      <c r="F179" s="2">
        <v>3.45</v>
      </c>
      <c r="G179" s="2">
        <v>0.39</v>
      </c>
      <c r="H179" s="1">
        <v>46241.25277777778</v>
      </c>
      <c r="I179" s="1">
        <v>45931</v>
      </c>
      <c r="J179" t="s">
        <v>13</v>
      </c>
      <c r="K179" t="str">
        <v>Available</v>
      </c>
      <c r="L179" t="str">
        <v>Available</v>
      </c>
      <c r="M179" t="str">
        <v>Available</v>
      </c>
      <c r="N179" t="str">
        <f t="shared" si="2"/>
        <v>Complete</v>
      </c>
    </row>
    <row r="180" spans="1:14" x14ac:dyDescent="0.35">
      <c r="A180" t="s">
        <v>37</v>
      </c>
      <c r="B180">
        <v>2025</v>
      </c>
      <c r="C180" t="s">
        <v>29</v>
      </c>
      <c r="D180" t="s">
        <v>27</v>
      </c>
      <c r="H180" s="1">
        <v>46241.25277777778</v>
      </c>
      <c r="I180" s="1">
        <v>45931</v>
      </c>
      <c r="J180" t="s">
        <v>13</v>
      </c>
      <c r="K180" t="str">
        <v>Missing</v>
      </c>
      <c r="L180" t="str">
        <v>Missing</v>
      </c>
      <c r="M180" t="str">
        <v>Missing</v>
      </c>
      <c r="N180" t="str">
        <f t="shared" si="2"/>
        <v>Missing Data</v>
      </c>
    </row>
    <row r="181" spans="1:14" x14ac:dyDescent="0.35">
      <c r="A181" t="s">
        <v>37</v>
      </c>
      <c r="B181">
        <v>2025</v>
      </c>
      <c r="C181" t="s">
        <v>23</v>
      </c>
      <c r="D181" t="s">
        <v>27</v>
      </c>
      <c r="E181" s="2">
        <v>131.69999999999999</v>
      </c>
      <c r="F181" s="2">
        <v>679.26</v>
      </c>
      <c r="G181" s="2">
        <v>76.8</v>
      </c>
      <c r="H181" s="1">
        <v>46241.25277777778</v>
      </c>
      <c r="I181" s="1">
        <v>45931</v>
      </c>
      <c r="J181" t="s">
        <v>13</v>
      </c>
      <c r="K181" t="str">
        <v>Available</v>
      </c>
      <c r="L181" t="str">
        <v>Available</v>
      </c>
      <c r="M181" t="str">
        <v>Available</v>
      </c>
      <c r="N181" t="str">
        <f t="shared" si="2"/>
        <v>Complete</v>
      </c>
    </row>
    <row r="182" spans="1:14" x14ac:dyDescent="0.35">
      <c r="A182" t="s">
        <v>37</v>
      </c>
      <c r="B182">
        <v>2025</v>
      </c>
      <c r="C182" t="s">
        <v>30</v>
      </c>
      <c r="D182" t="s">
        <v>27</v>
      </c>
      <c r="E182" s="2">
        <v>5114.59</v>
      </c>
      <c r="F182" s="2">
        <v>29558.41</v>
      </c>
      <c r="G182" s="2">
        <v>3310.1</v>
      </c>
      <c r="H182" s="1">
        <v>46241.25277777778</v>
      </c>
      <c r="I182" s="1">
        <v>45931</v>
      </c>
      <c r="J182" t="s">
        <v>25</v>
      </c>
      <c r="K182" t="str">
        <v>Available</v>
      </c>
      <c r="L182" t="str">
        <v>Available</v>
      </c>
      <c r="M182" t="str">
        <v>Available</v>
      </c>
      <c r="N182" t="str">
        <f t="shared" si="2"/>
        <v>Complete</v>
      </c>
    </row>
    <row r="183" spans="1:14" x14ac:dyDescent="0.35">
      <c r="A183" t="s">
        <v>37</v>
      </c>
      <c r="B183">
        <v>2025</v>
      </c>
      <c r="C183" t="s">
        <v>31</v>
      </c>
      <c r="D183" t="s">
        <v>27</v>
      </c>
      <c r="E183" s="2">
        <v>20017.830000000002</v>
      </c>
      <c r="F183" s="2">
        <v>76693.55</v>
      </c>
      <c r="G183" s="2">
        <v>8696.0499999999993</v>
      </c>
      <c r="H183" s="1">
        <v>46241.25277777778</v>
      </c>
      <c r="I183" s="1">
        <v>45931</v>
      </c>
      <c r="J183" t="s">
        <v>25</v>
      </c>
      <c r="K183" t="str">
        <v>Available</v>
      </c>
      <c r="L183" t="str">
        <v>Available</v>
      </c>
      <c r="M183" t="str">
        <v>Available</v>
      </c>
      <c r="N183" t="str">
        <f t="shared" si="2"/>
        <v>Complete</v>
      </c>
    </row>
    <row r="184" spans="1:14" x14ac:dyDescent="0.35">
      <c r="A184" t="s">
        <v>38</v>
      </c>
      <c r="B184">
        <v>2025</v>
      </c>
      <c r="C184" t="s">
        <v>11</v>
      </c>
      <c r="D184" t="s">
        <v>12</v>
      </c>
      <c r="E184" s="2">
        <v>21235.64</v>
      </c>
      <c r="F184" s="2">
        <v>88772.64</v>
      </c>
      <c r="G184" s="2">
        <v>9969.23</v>
      </c>
      <c r="H184" s="1">
        <v>46241.25277777778</v>
      </c>
      <c r="I184" s="1">
        <v>45962</v>
      </c>
      <c r="J184" t="s">
        <v>13</v>
      </c>
      <c r="K184" t="str">
        <v>Available</v>
      </c>
      <c r="L184" t="str">
        <v>Available</v>
      </c>
      <c r="M184" t="str">
        <v>Available</v>
      </c>
      <c r="N184" t="str">
        <f t="shared" si="2"/>
        <v>Complete</v>
      </c>
    </row>
    <row r="185" spans="1:14" x14ac:dyDescent="0.35">
      <c r="A185" t="s">
        <v>38</v>
      </c>
      <c r="B185">
        <v>2025</v>
      </c>
      <c r="C185" t="s">
        <v>14</v>
      </c>
      <c r="D185" t="s">
        <v>12</v>
      </c>
      <c r="E185" s="2">
        <v>1816.31</v>
      </c>
      <c r="F185" s="2">
        <v>7542.72</v>
      </c>
      <c r="G185" s="2">
        <v>848.72</v>
      </c>
      <c r="H185" s="1">
        <v>46241.25277777778</v>
      </c>
      <c r="I185" s="1">
        <v>45962</v>
      </c>
      <c r="J185" t="s">
        <v>13</v>
      </c>
      <c r="K185" t="str">
        <v>Available</v>
      </c>
      <c r="L185" t="str">
        <v>Available</v>
      </c>
      <c r="M185" t="str">
        <v>Available</v>
      </c>
      <c r="N185" t="str">
        <f t="shared" si="2"/>
        <v>Complete</v>
      </c>
    </row>
    <row r="186" spans="1:14" x14ac:dyDescent="0.35">
      <c r="A186" t="s">
        <v>38</v>
      </c>
      <c r="B186">
        <v>2025</v>
      </c>
      <c r="C186" t="s">
        <v>15</v>
      </c>
      <c r="D186" t="s">
        <v>12</v>
      </c>
      <c r="H186" s="1">
        <v>46241.25277777778</v>
      </c>
      <c r="I186" s="1">
        <v>45962</v>
      </c>
      <c r="J186" t="s">
        <v>13</v>
      </c>
      <c r="K186" t="str">
        <v>Missing</v>
      </c>
      <c r="L186" t="str">
        <v>Missing</v>
      </c>
      <c r="M186" t="str">
        <v>Missing</v>
      </c>
      <c r="N186" t="str">
        <f t="shared" si="2"/>
        <v>Missing Data</v>
      </c>
    </row>
    <row r="187" spans="1:14" x14ac:dyDescent="0.35">
      <c r="A187" t="s">
        <v>38</v>
      </c>
      <c r="B187">
        <v>2025</v>
      </c>
      <c r="C187" t="s">
        <v>16</v>
      </c>
      <c r="D187" t="s">
        <v>12</v>
      </c>
      <c r="E187" s="2">
        <v>143.94999999999999</v>
      </c>
      <c r="F187" s="2">
        <v>741.45</v>
      </c>
      <c r="G187" s="2">
        <v>83.53</v>
      </c>
      <c r="H187" s="1">
        <v>46241.25277777778</v>
      </c>
      <c r="I187" s="1">
        <v>45962</v>
      </c>
      <c r="J187" t="s">
        <v>13</v>
      </c>
      <c r="K187" t="str">
        <v>Available</v>
      </c>
      <c r="L187" t="str">
        <v>Available</v>
      </c>
      <c r="M187" t="str">
        <v>Available</v>
      </c>
      <c r="N187" t="str">
        <f t="shared" si="2"/>
        <v>Complete</v>
      </c>
    </row>
    <row r="188" spans="1:14" x14ac:dyDescent="0.35">
      <c r="A188" t="s">
        <v>38</v>
      </c>
      <c r="B188">
        <v>2025</v>
      </c>
      <c r="C188" t="s">
        <v>17</v>
      </c>
      <c r="D188" t="s">
        <v>12</v>
      </c>
      <c r="H188" s="1">
        <v>46241.25277777778</v>
      </c>
      <c r="I188" s="1">
        <v>45962</v>
      </c>
      <c r="J188" t="s">
        <v>13</v>
      </c>
      <c r="K188" t="str">
        <v>Missing</v>
      </c>
      <c r="L188" t="str">
        <v>Missing</v>
      </c>
      <c r="M188" t="str">
        <v>Missing</v>
      </c>
      <c r="N188" t="str">
        <f t="shared" si="2"/>
        <v>Missing Data</v>
      </c>
    </row>
    <row r="189" spans="1:14" x14ac:dyDescent="0.35">
      <c r="A189" t="s">
        <v>38</v>
      </c>
      <c r="B189">
        <v>2025</v>
      </c>
      <c r="C189" t="s">
        <v>18</v>
      </c>
      <c r="D189" t="s">
        <v>12</v>
      </c>
      <c r="E189" s="2">
        <v>7.68</v>
      </c>
      <c r="F189" s="2">
        <v>46.59</v>
      </c>
      <c r="G189" s="2">
        <v>5.24</v>
      </c>
      <c r="H189" s="1">
        <v>46241.25277777778</v>
      </c>
      <c r="I189" s="1">
        <v>45962</v>
      </c>
      <c r="J189" t="s">
        <v>13</v>
      </c>
      <c r="K189" t="str">
        <v>Available</v>
      </c>
      <c r="L189" t="str">
        <v>Available</v>
      </c>
      <c r="M189" t="str">
        <v>Available</v>
      </c>
      <c r="N189" t="str">
        <f t="shared" si="2"/>
        <v>Complete</v>
      </c>
    </row>
    <row r="190" spans="1:14" x14ac:dyDescent="0.35">
      <c r="A190" t="s">
        <v>38</v>
      </c>
      <c r="B190">
        <v>2025</v>
      </c>
      <c r="C190" t="s">
        <v>19</v>
      </c>
      <c r="D190" t="s">
        <v>12</v>
      </c>
      <c r="E190" s="2">
        <v>241.96</v>
      </c>
      <c r="F190" s="2">
        <v>1828.64</v>
      </c>
      <c r="G190" s="2">
        <v>205.88</v>
      </c>
      <c r="H190" s="1">
        <v>46241.25277777778</v>
      </c>
      <c r="I190" s="1">
        <v>45962</v>
      </c>
      <c r="J190" t="s">
        <v>13</v>
      </c>
      <c r="K190" t="str">
        <v>Available</v>
      </c>
      <c r="L190" t="str">
        <v>Available</v>
      </c>
      <c r="M190" t="str">
        <v>Available</v>
      </c>
      <c r="N190" t="str">
        <f t="shared" si="2"/>
        <v>Complete</v>
      </c>
    </row>
    <row r="191" spans="1:14" x14ac:dyDescent="0.35">
      <c r="A191" t="s">
        <v>38</v>
      </c>
      <c r="B191">
        <v>2025</v>
      </c>
      <c r="C191" t="s">
        <v>20</v>
      </c>
      <c r="D191" t="s">
        <v>12</v>
      </c>
      <c r="E191" s="2">
        <v>469.55</v>
      </c>
      <c r="F191" s="2">
        <v>1410.44</v>
      </c>
      <c r="G191" s="2">
        <v>158.94999999999999</v>
      </c>
      <c r="H191" s="1">
        <v>46241.25277777778</v>
      </c>
      <c r="I191" s="1">
        <v>45962</v>
      </c>
      <c r="J191" t="s">
        <v>13</v>
      </c>
      <c r="K191" t="str">
        <v>Available</v>
      </c>
      <c r="L191" t="str">
        <v>Available</v>
      </c>
      <c r="M191" t="str">
        <v>Available</v>
      </c>
      <c r="N191" t="str">
        <f t="shared" si="2"/>
        <v>Complete</v>
      </c>
    </row>
    <row r="192" spans="1:14" x14ac:dyDescent="0.35">
      <c r="A192" t="s">
        <v>38</v>
      </c>
      <c r="B192">
        <v>2025</v>
      </c>
      <c r="C192" t="s">
        <v>21</v>
      </c>
      <c r="D192" t="s">
        <v>12</v>
      </c>
      <c r="E192" s="2">
        <v>214.76</v>
      </c>
      <c r="F192" s="2">
        <v>688.83</v>
      </c>
      <c r="G192" s="2">
        <v>77.55</v>
      </c>
      <c r="H192" s="1">
        <v>46241.25277777778</v>
      </c>
      <c r="I192" s="1">
        <v>45962</v>
      </c>
      <c r="J192" t="s">
        <v>13</v>
      </c>
      <c r="K192" t="str">
        <v>Available</v>
      </c>
      <c r="L192" t="str">
        <v>Available</v>
      </c>
      <c r="M192" t="str">
        <v>Available</v>
      </c>
      <c r="N192" t="str">
        <f t="shared" si="2"/>
        <v>Complete</v>
      </c>
    </row>
    <row r="193" spans="1:14" x14ac:dyDescent="0.35">
      <c r="A193" t="s">
        <v>38</v>
      </c>
      <c r="B193">
        <v>2025</v>
      </c>
      <c r="C193" t="s">
        <v>22</v>
      </c>
      <c r="D193" t="s">
        <v>12</v>
      </c>
      <c r="E193" s="2">
        <v>665.92</v>
      </c>
      <c r="F193" s="2">
        <v>760.6</v>
      </c>
      <c r="G193" s="2">
        <v>85.63</v>
      </c>
      <c r="H193" s="1">
        <v>46241.25277777778</v>
      </c>
      <c r="I193" s="1">
        <v>45962</v>
      </c>
      <c r="J193" t="s">
        <v>13</v>
      </c>
      <c r="K193" t="str">
        <v>Available</v>
      </c>
      <c r="L193" t="str">
        <v>Available</v>
      </c>
      <c r="M193" t="str">
        <v>Available</v>
      </c>
      <c r="N193" t="str">
        <f t="shared" si="2"/>
        <v>Complete</v>
      </c>
    </row>
    <row r="194" spans="1:14" x14ac:dyDescent="0.35">
      <c r="A194" t="s">
        <v>38</v>
      </c>
      <c r="B194">
        <v>2025</v>
      </c>
      <c r="C194" t="s">
        <v>23</v>
      </c>
      <c r="D194" t="s">
        <v>12</v>
      </c>
      <c r="E194" s="2">
        <v>199.72</v>
      </c>
      <c r="F194" s="2">
        <v>1133.82</v>
      </c>
      <c r="G194" s="2">
        <v>127.69</v>
      </c>
      <c r="H194" s="1">
        <v>46241.25277777778</v>
      </c>
      <c r="I194" s="1">
        <v>45962</v>
      </c>
      <c r="J194" t="s">
        <v>13</v>
      </c>
      <c r="K194" t="str">
        <v>Available</v>
      </c>
      <c r="L194" t="str">
        <v>Available</v>
      </c>
      <c r="M194" t="str">
        <v>Available</v>
      </c>
      <c r="N194" t="str">
        <f t="shared" si="2"/>
        <v>Complete</v>
      </c>
    </row>
    <row r="195" spans="1:14" x14ac:dyDescent="0.35">
      <c r="A195" t="s">
        <v>38</v>
      </c>
      <c r="B195">
        <v>2025</v>
      </c>
      <c r="C195" t="s">
        <v>24</v>
      </c>
      <c r="D195" t="s">
        <v>12</v>
      </c>
      <c r="E195" s="2">
        <v>3759.85</v>
      </c>
      <c r="F195" s="2">
        <v>14153.1</v>
      </c>
      <c r="G195" s="2">
        <v>1593.18</v>
      </c>
      <c r="H195" s="1">
        <v>46241.25277777778</v>
      </c>
      <c r="I195" s="1">
        <v>45962</v>
      </c>
      <c r="J195" t="s">
        <v>25</v>
      </c>
      <c r="K195" t="str">
        <v>Available</v>
      </c>
      <c r="L195" t="str">
        <v>Available</v>
      </c>
      <c r="M195" t="str">
        <v>Available</v>
      </c>
      <c r="N195" t="str">
        <f t="shared" ref="N195:N258" si="3">IF(AND(NOT(ISBLANK(E195)),NOT(ISBLANK(F195)),NOT(ISBLANK(G195))),"Complete","Missing Data")</f>
        <v>Complete</v>
      </c>
    </row>
    <row r="196" spans="1:14" x14ac:dyDescent="0.35">
      <c r="A196" t="s">
        <v>38</v>
      </c>
      <c r="B196">
        <v>2025</v>
      </c>
      <c r="C196" t="s">
        <v>26</v>
      </c>
      <c r="D196" t="s">
        <v>12</v>
      </c>
      <c r="E196" s="2">
        <v>24995.48</v>
      </c>
      <c r="F196" s="2">
        <v>102925.74</v>
      </c>
      <c r="G196" s="2">
        <v>11562.41</v>
      </c>
      <c r="H196" s="1">
        <v>46241.25277777778</v>
      </c>
      <c r="I196" s="1">
        <v>45962</v>
      </c>
      <c r="J196" t="s">
        <v>25</v>
      </c>
      <c r="K196" t="str">
        <v>Available</v>
      </c>
      <c r="L196" t="str">
        <v>Available</v>
      </c>
      <c r="M196" t="str">
        <v>Available</v>
      </c>
      <c r="N196" t="str">
        <f t="shared" si="3"/>
        <v>Complete</v>
      </c>
    </row>
    <row r="197" spans="1:14" x14ac:dyDescent="0.35">
      <c r="A197" t="s">
        <v>38</v>
      </c>
      <c r="B197">
        <v>2025</v>
      </c>
      <c r="C197" t="s">
        <v>14</v>
      </c>
      <c r="D197" t="s">
        <v>27</v>
      </c>
      <c r="E197" s="2">
        <v>48.02</v>
      </c>
      <c r="F197" s="2">
        <v>268.08</v>
      </c>
      <c r="G197" s="2">
        <v>31.21</v>
      </c>
      <c r="H197" s="1">
        <v>46241.25277777778</v>
      </c>
      <c r="I197" s="1">
        <v>45962</v>
      </c>
      <c r="J197" t="s">
        <v>13</v>
      </c>
      <c r="K197" t="str">
        <v>Available</v>
      </c>
      <c r="L197" t="str">
        <v>Available</v>
      </c>
      <c r="M197" t="str">
        <v>Available</v>
      </c>
      <c r="N197" t="str">
        <f t="shared" si="3"/>
        <v>Complete</v>
      </c>
    </row>
    <row r="198" spans="1:14" x14ac:dyDescent="0.35">
      <c r="A198" t="s">
        <v>38</v>
      </c>
      <c r="B198">
        <v>2025</v>
      </c>
      <c r="C198" t="s">
        <v>15</v>
      </c>
      <c r="D198" t="s">
        <v>27</v>
      </c>
      <c r="E198" s="2">
        <v>1523.73</v>
      </c>
      <c r="F198" s="2">
        <v>9143.2099999999991</v>
      </c>
      <c r="G198" s="2">
        <v>1018.22</v>
      </c>
      <c r="H198" s="1">
        <v>46241.25277777778</v>
      </c>
      <c r="I198" s="1">
        <v>45962</v>
      </c>
      <c r="J198" t="s">
        <v>13</v>
      </c>
      <c r="K198" t="str">
        <v>Available</v>
      </c>
      <c r="L198" t="str">
        <v>Available</v>
      </c>
      <c r="M198" t="str">
        <v>Available</v>
      </c>
      <c r="N198" t="str">
        <f t="shared" si="3"/>
        <v>Complete</v>
      </c>
    </row>
    <row r="199" spans="1:14" x14ac:dyDescent="0.35">
      <c r="A199" t="s">
        <v>38</v>
      </c>
      <c r="B199">
        <v>2025</v>
      </c>
      <c r="C199" t="s">
        <v>16</v>
      </c>
      <c r="D199" t="s">
        <v>27</v>
      </c>
      <c r="E199" s="2">
        <v>506.78</v>
      </c>
      <c r="F199" s="2">
        <v>2221.4899999999998</v>
      </c>
      <c r="G199" s="2">
        <v>248.9</v>
      </c>
      <c r="H199" s="1">
        <v>46241.25277777778</v>
      </c>
      <c r="I199" s="1">
        <v>45962</v>
      </c>
      <c r="J199" t="s">
        <v>13</v>
      </c>
      <c r="K199" t="str">
        <v>Available</v>
      </c>
      <c r="L199" t="str">
        <v>Available</v>
      </c>
      <c r="M199" t="str">
        <v>Available</v>
      </c>
      <c r="N199" t="str">
        <f t="shared" si="3"/>
        <v>Complete</v>
      </c>
    </row>
    <row r="200" spans="1:14" x14ac:dyDescent="0.35">
      <c r="A200" t="s">
        <v>38</v>
      </c>
      <c r="B200">
        <v>2025</v>
      </c>
      <c r="C200" t="s">
        <v>17</v>
      </c>
      <c r="D200" t="s">
        <v>27</v>
      </c>
      <c r="E200" s="2">
        <v>598.83000000000004</v>
      </c>
      <c r="F200" s="2">
        <v>3847.37</v>
      </c>
      <c r="G200" s="2">
        <v>423.74</v>
      </c>
      <c r="H200" s="1">
        <v>46241.25277777778</v>
      </c>
      <c r="I200" s="1">
        <v>45962</v>
      </c>
      <c r="J200" t="s">
        <v>13</v>
      </c>
      <c r="K200" t="str">
        <v>Available</v>
      </c>
      <c r="L200" t="str">
        <v>Available</v>
      </c>
      <c r="M200" t="str">
        <v>Available</v>
      </c>
      <c r="N200" t="str">
        <f t="shared" si="3"/>
        <v>Complete</v>
      </c>
    </row>
    <row r="201" spans="1:14" x14ac:dyDescent="0.35">
      <c r="A201" t="s">
        <v>38</v>
      </c>
      <c r="B201">
        <v>2025</v>
      </c>
      <c r="C201" t="s">
        <v>28</v>
      </c>
      <c r="D201" t="s">
        <v>27</v>
      </c>
      <c r="E201" s="2">
        <v>1.18</v>
      </c>
      <c r="F201" s="2">
        <v>8.35</v>
      </c>
      <c r="G201" s="2">
        <v>0.97</v>
      </c>
      <c r="H201" s="1">
        <v>46241.25277777778</v>
      </c>
      <c r="I201" s="1">
        <v>45962</v>
      </c>
      <c r="J201" t="s">
        <v>13</v>
      </c>
      <c r="K201" t="str">
        <v>Available</v>
      </c>
      <c r="L201" t="str">
        <v>Available</v>
      </c>
      <c r="M201" t="str">
        <v>Available</v>
      </c>
      <c r="N201" t="str">
        <f t="shared" si="3"/>
        <v>Complete</v>
      </c>
    </row>
    <row r="202" spans="1:14" x14ac:dyDescent="0.35">
      <c r="A202" t="s">
        <v>38</v>
      </c>
      <c r="B202">
        <v>2025</v>
      </c>
      <c r="C202" t="s">
        <v>18</v>
      </c>
      <c r="D202" t="s">
        <v>27</v>
      </c>
      <c r="E202" s="2">
        <v>2314.02</v>
      </c>
      <c r="F202" s="2">
        <v>14092.08</v>
      </c>
      <c r="G202" s="2">
        <v>1561.99</v>
      </c>
      <c r="H202" s="1">
        <v>46241.25277777778</v>
      </c>
      <c r="I202" s="1">
        <v>45962</v>
      </c>
      <c r="J202" t="s">
        <v>13</v>
      </c>
      <c r="K202" t="str">
        <v>Available</v>
      </c>
      <c r="L202" t="str">
        <v>Available</v>
      </c>
      <c r="M202" t="str">
        <v>Available</v>
      </c>
      <c r="N202" t="str">
        <f t="shared" si="3"/>
        <v>Complete</v>
      </c>
    </row>
    <row r="203" spans="1:14" x14ac:dyDescent="0.35">
      <c r="A203" t="s">
        <v>38</v>
      </c>
      <c r="B203">
        <v>2025</v>
      </c>
      <c r="C203" t="s">
        <v>19</v>
      </c>
      <c r="D203" t="s">
        <v>27</v>
      </c>
      <c r="E203" s="2">
        <v>1.05</v>
      </c>
      <c r="F203" s="2">
        <v>15.76</v>
      </c>
      <c r="G203" s="2">
        <v>1.76</v>
      </c>
      <c r="H203" s="1">
        <v>46241.25277777778</v>
      </c>
      <c r="I203" s="1">
        <v>45962</v>
      </c>
      <c r="J203" t="s">
        <v>13</v>
      </c>
      <c r="K203" t="str">
        <v>Available</v>
      </c>
      <c r="L203" t="str">
        <v>Available</v>
      </c>
      <c r="M203" t="str">
        <v>Available</v>
      </c>
      <c r="N203" t="str">
        <f t="shared" si="3"/>
        <v>Complete</v>
      </c>
    </row>
    <row r="204" spans="1:14" x14ac:dyDescent="0.35">
      <c r="A204" t="s">
        <v>38</v>
      </c>
      <c r="B204">
        <v>2025</v>
      </c>
      <c r="C204" t="s">
        <v>20</v>
      </c>
      <c r="D204" t="s">
        <v>27</v>
      </c>
      <c r="E204" s="2">
        <v>66.430000000000007</v>
      </c>
      <c r="F204" s="2">
        <v>201.56</v>
      </c>
      <c r="G204" s="2">
        <v>22.54</v>
      </c>
      <c r="H204" s="1">
        <v>46241.25277777778</v>
      </c>
      <c r="I204" s="1">
        <v>45962</v>
      </c>
      <c r="J204" t="s">
        <v>13</v>
      </c>
      <c r="K204" t="str">
        <v>Available</v>
      </c>
      <c r="L204" t="str">
        <v>Available</v>
      </c>
      <c r="M204" t="str">
        <v>Available</v>
      </c>
      <c r="N204" t="str">
        <f t="shared" si="3"/>
        <v>Complete</v>
      </c>
    </row>
    <row r="205" spans="1:14" x14ac:dyDescent="0.35">
      <c r="A205" t="s">
        <v>38</v>
      </c>
      <c r="B205">
        <v>2025</v>
      </c>
      <c r="C205" t="s">
        <v>21</v>
      </c>
      <c r="D205" t="s">
        <v>27</v>
      </c>
      <c r="E205" s="2">
        <v>3.54</v>
      </c>
      <c r="F205" s="2">
        <v>15.14</v>
      </c>
      <c r="G205" s="2">
        <v>1.7</v>
      </c>
      <c r="H205" s="1">
        <v>46241.25277777778</v>
      </c>
      <c r="I205" s="1">
        <v>45962</v>
      </c>
      <c r="J205" t="s">
        <v>13</v>
      </c>
      <c r="K205" t="str">
        <v>Available</v>
      </c>
      <c r="L205" t="str">
        <v>Available</v>
      </c>
      <c r="M205" t="str">
        <v>Available</v>
      </c>
      <c r="N205" t="str">
        <f t="shared" si="3"/>
        <v>Complete</v>
      </c>
    </row>
    <row r="206" spans="1:14" x14ac:dyDescent="0.35">
      <c r="A206" t="s">
        <v>38</v>
      </c>
      <c r="B206">
        <v>2025</v>
      </c>
      <c r="C206" t="s">
        <v>29</v>
      </c>
      <c r="D206" t="s">
        <v>27</v>
      </c>
      <c r="E206" s="2">
        <v>41.5</v>
      </c>
      <c r="F206" s="2">
        <v>26.27</v>
      </c>
      <c r="G206" s="2">
        <v>2.96</v>
      </c>
      <c r="H206" s="1">
        <v>46241.25277777778</v>
      </c>
      <c r="I206" s="1">
        <v>45962</v>
      </c>
      <c r="J206" t="s">
        <v>13</v>
      </c>
      <c r="K206" t="str">
        <v>Available</v>
      </c>
      <c r="L206" t="str">
        <v>Available</v>
      </c>
      <c r="M206" t="str">
        <v>Available</v>
      </c>
      <c r="N206" t="str">
        <f t="shared" si="3"/>
        <v>Complete</v>
      </c>
    </row>
    <row r="207" spans="1:14" x14ac:dyDescent="0.35">
      <c r="A207" t="s">
        <v>38</v>
      </c>
      <c r="B207">
        <v>2025</v>
      </c>
      <c r="C207" t="s">
        <v>23</v>
      </c>
      <c r="D207" t="s">
        <v>27</v>
      </c>
      <c r="E207" s="2">
        <v>145.36000000000001</v>
      </c>
      <c r="F207" s="2">
        <v>614.61</v>
      </c>
      <c r="G207" s="2">
        <v>68.98</v>
      </c>
      <c r="H207" s="1">
        <v>46241.25277777778</v>
      </c>
      <c r="I207" s="1">
        <v>45962</v>
      </c>
      <c r="J207" t="s">
        <v>13</v>
      </c>
      <c r="K207" t="str">
        <v>Available</v>
      </c>
      <c r="L207" t="str">
        <v>Available</v>
      </c>
      <c r="M207" t="str">
        <v>Available</v>
      </c>
      <c r="N207" t="str">
        <f t="shared" si="3"/>
        <v>Complete</v>
      </c>
    </row>
    <row r="208" spans="1:14" x14ac:dyDescent="0.35">
      <c r="A208" t="s">
        <v>38</v>
      </c>
      <c r="B208">
        <v>2025</v>
      </c>
      <c r="C208" t="s">
        <v>30</v>
      </c>
      <c r="D208" t="s">
        <v>27</v>
      </c>
      <c r="E208" s="2">
        <v>5250.45</v>
      </c>
      <c r="F208" s="2">
        <v>30453.919999999998</v>
      </c>
      <c r="G208" s="2">
        <v>3382.97</v>
      </c>
      <c r="H208" s="1">
        <v>46241.25277777778</v>
      </c>
      <c r="I208" s="1">
        <v>45962</v>
      </c>
      <c r="J208" t="s">
        <v>25</v>
      </c>
      <c r="K208" t="str">
        <v>Available</v>
      </c>
      <c r="L208" t="str">
        <v>Available</v>
      </c>
      <c r="M208" t="str">
        <v>Available</v>
      </c>
      <c r="N208" t="str">
        <f t="shared" si="3"/>
        <v>Complete</v>
      </c>
    </row>
    <row r="209" spans="1:14" x14ac:dyDescent="0.35">
      <c r="A209" t="s">
        <v>38</v>
      </c>
      <c r="B209">
        <v>2025</v>
      </c>
      <c r="C209" t="s">
        <v>31</v>
      </c>
      <c r="D209" t="s">
        <v>27</v>
      </c>
      <c r="E209" s="2">
        <v>19745.04</v>
      </c>
      <c r="F209" s="2">
        <v>72471.820000000007</v>
      </c>
      <c r="G209" s="2">
        <v>8179.44</v>
      </c>
      <c r="H209" s="1">
        <v>46241.25277777778</v>
      </c>
      <c r="I209" s="1">
        <v>45962</v>
      </c>
      <c r="J209" t="s">
        <v>25</v>
      </c>
      <c r="K209" t="str">
        <v>Available</v>
      </c>
      <c r="L209" t="str">
        <v>Available</v>
      </c>
      <c r="M209" t="str">
        <v>Available</v>
      </c>
      <c r="N209" t="str">
        <f t="shared" si="3"/>
        <v>Complete</v>
      </c>
    </row>
    <row r="210" spans="1:14" x14ac:dyDescent="0.35">
      <c r="A210" t="s">
        <v>39</v>
      </c>
      <c r="B210">
        <v>2025</v>
      </c>
      <c r="C210" t="s">
        <v>11</v>
      </c>
      <c r="D210" t="s">
        <v>12</v>
      </c>
      <c r="E210" s="2">
        <v>21588.14</v>
      </c>
      <c r="F210" s="2">
        <v>88950.78</v>
      </c>
      <c r="G210" s="2">
        <v>9873.48</v>
      </c>
      <c r="H210" s="1">
        <v>46241.25277777778</v>
      </c>
      <c r="I210" s="1">
        <v>45992</v>
      </c>
      <c r="J210" t="s">
        <v>13</v>
      </c>
      <c r="K210" t="str">
        <v>Available</v>
      </c>
      <c r="L210" t="str">
        <v>Available</v>
      </c>
      <c r="M210" t="str">
        <v>Available</v>
      </c>
      <c r="N210" t="str">
        <f t="shared" si="3"/>
        <v>Complete</v>
      </c>
    </row>
    <row r="211" spans="1:14" x14ac:dyDescent="0.35">
      <c r="A211" t="s">
        <v>39</v>
      </c>
      <c r="B211">
        <v>2025</v>
      </c>
      <c r="C211" t="s">
        <v>14</v>
      </c>
      <c r="D211" t="s">
        <v>12</v>
      </c>
      <c r="E211" s="2">
        <v>1996</v>
      </c>
      <c r="F211" s="2">
        <v>8800.57</v>
      </c>
      <c r="G211" s="2">
        <v>977.39</v>
      </c>
      <c r="H211" s="1">
        <v>46241.25277777778</v>
      </c>
      <c r="I211" s="1">
        <v>45992</v>
      </c>
      <c r="J211" t="s">
        <v>13</v>
      </c>
      <c r="K211" t="str">
        <v>Available</v>
      </c>
      <c r="L211" t="str">
        <v>Available</v>
      </c>
      <c r="M211" t="str">
        <v>Available</v>
      </c>
      <c r="N211" t="str">
        <f t="shared" si="3"/>
        <v>Complete</v>
      </c>
    </row>
    <row r="212" spans="1:14" x14ac:dyDescent="0.35">
      <c r="A212" t="s">
        <v>39</v>
      </c>
      <c r="B212">
        <v>2025</v>
      </c>
      <c r="C212" t="s">
        <v>15</v>
      </c>
      <c r="D212" t="s">
        <v>12</v>
      </c>
      <c r="E212" s="2">
        <v>0.01</v>
      </c>
      <c r="F212" s="2">
        <v>0.34</v>
      </c>
      <c r="G212" s="2">
        <v>0.04</v>
      </c>
      <c r="H212" s="1">
        <v>46241.25277777778</v>
      </c>
      <c r="I212" s="1">
        <v>45992</v>
      </c>
      <c r="J212" t="s">
        <v>13</v>
      </c>
      <c r="K212" t="str">
        <v>Available</v>
      </c>
      <c r="L212" t="str">
        <v>Available</v>
      </c>
      <c r="M212" t="str">
        <v>Available</v>
      </c>
      <c r="N212" t="str">
        <f t="shared" si="3"/>
        <v>Complete</v>
      </c>
    </row>
    <row r="213" spans="1:14" x14ac:dyDescent="0.35">
      <c r="A213" t="s">
        <v>39</v>
      </c>
      <c r="B213">
        <v>2025</v>
      </c>
      <c r="C213" t="s">
        <v>16</v>
      </c>
      <c r="D213" t="s">
        <v>12</v>
      </c>
      <c r="E213" s="2">
        <v>8.1300000000000008</v>
      </c>
      <c r="F213" s="2">
        <v>41.8</v>
      </c>
      <c r="G213" s="2">
        <v>4.6399999999999997</v>
      </c>
      <c r="H213" s="1">
        <v>46241.25277777778</v>
      </c>
      <c r="I213" s="1">
        <v>45992</v>
      </c>
      <c r="J213" t="s">
        <v>13</v>
      </c>
      <c r="K213" t="str">
        <v>Available</v>
      </c>
      <c r="L213" t="str">
        <v>Available</v>
      </c>
      <c r="M213" t="str">
        <v>Available</v>
      </c>
      <c r="N213" t="str">
        <f t="shared" si="3"/>
        <v>Complete</v>
      </c>
    </row>
    <row r="214" spans="1:14" x14ac:dyDescent="0.35">
      <c r="A214" t="s">
        <v>39</v>
      </c>
      <c r="B214">
        <v>2025</v>
      </c>
      <c r="C214" t="s">
        <v>17</v>
      </c>
      <c r="D214" t="s">
        <v>12</v>
      </c>
      <c r="E214" s="2">
        <v>0.01</v>
      </c>
      <c r="F214" s="2">
        <v>0.05</v>
      </c>
      <c r="G214" s="2">
        <v>0.01</v>
      </c>
      <c r="H214" s="1">
        <v>46241.25277777778</v>
      </c>
      <c r="I214" s="1">
        <v>45992</v>
      </c>
      <c r="J214" t="s">
        <v>13</v>
      </c>
      <c r="K214" t="str">
        <v>Available</v>
      </c>
      <c r="L214" t="str">
        <v>Available</v>
      </c>
      <c r="M214" t="str">
        <v>Available</v>
      </c>
      <c r="N214" t="str">
        <f t="shared" si="3"/>
        <v>Complete</v>
      </c>
    </row>
    <row r="215" spans="1:14" x14ac:dyDescent="0.35">
      <c r="A215" t="s">
        <v>39</v>
      </c>
      <c r="B215">
        <v>2025</v>
      </c>
      <c r="C215" t="s">
        <v>18</v>
      </c>
      <c r="D215" t="s">
        <v>12</v>
      </c>
      <c r="E215" s="2">
        <v>2.44</v>
      </c>
      <c r="F215" s="2">
        <v>15.38</v>
      </c>
      <c r="G215" s="2">
        <v>1.71</v>
      </c>
      <c r="H215" s="1">
        <v>46241.25277777778</v>
      </c>
      <c r="I215" s="1">
        <v>45992</v>
      </c>
      <c r="J215" t="s">
        <v>13</v>
      </c>
      <c r="K215" t="str">
        <v>Available</v>
      </c>
      <c r="L215" t="str">
        <v>Available</v>
      </c>
      <c r="M215" t="str">
        <v>Available</v>
      </c>
      <c r="N215" t="str">
        <f t="shared" si="3"/>
        <v>Complete</v>
      </c>
    </row>
    <row r="216" spans="1:14" x14ac:dyDescent="0.35">
      <c r="A216" t="s">
        <v>39</v>
      </c>
      <c r="B216">
        <v>2025</v>
      </c>
      <c r="C216" t="s">
        <v>19</v>
      </c>
      <c r="D216" t="s">
        <v>12</v>
      </c>
      <c r="E216" s="2">
        <v>291.74</v>
      </c>
      <c r="F216" s="2">
        <v>2141.98</v>
      </c>
      <c r="G216" s="2">
        <v>237.74</v>
      </c>
      <c r="H216" s="1">
        <v>46241.25277777778</v>
      </c>
      <c r="I216" s="1">
        <v>45992</v>
      </c>
      <c r="J216" t="s">
        <v>13</v>
      </c>
      <c r="K216" t="str">
        <v>Available</v>
      </c>
      <c r="L216" t="str">
        <v>Available</v>
      </c>
      <c r="M216" t="str">
        <v>Available</v>
      </c>
      <c r="N216" t="str">
        <f t="shared" si="3"/>
        <v>Complete</v>
      </c>
    </row>
    <row r="217" spans="1:14" x14ac:dyDescent="0.35">
      <c r="A217" t="s">
        <v>39</v>
      </c>
      <c r="B217">
        <v>2025</v>
      </c>
      <c r="C217" t="s">
        <v>20</v>
      </c>
      <c r="D217" t="s">
        <v>12</v>
      </c>
      <c r="E217" s="2">
        <v>164.98</v>
      </c>
      <c r="F217" s="2">
        <v>491.6</v>
      </c>
      <c r="G217" s="2">
        <v>54.36</v>
      </c>
      <c r="H217" s="1">
        <v>46241.25277777778</v>
      </c>
      <c r="I217" s="1">
        <v>45992</v>
      </c>
      <c r="J217" t="s">
        <v>13</v>
      </c>
      <c r="K217" t="str">
        <v>Available</v>
      </c>
      <c r="L217" t="str">
        <v>Available</v>
      </c>
      <c r="M217" t="str">
        <v>Available</v>
      </c>
      <c r="N217" t="str">
        <f t="shared" si="3"/>
        <v>Complete</v>
      </c>
    </row>
    <row r="218" spans="1:14" x14ac:dyDescent="0.35">
      <c r="A218" t="s">
        <v>39</v>
      </c>
      <c r="B218">
        <v>2025</v>
      </c>
      <c r="C218" t="s">
        <v>21</v>
      </c>
      <c r="D218" t="s">
        <v>12</v>
      </c>
      <c r="E218" s="2">
        <v>212.51</v>
      </c>
      <c r="F218" s="2">
        <v>700.64</v>
      </c>
      <c r="G218" s="2">
        <v>77.81</v>
      </c>
      <c r="H218" s="1">
        <v>46241.25277777778</v>
      </c>
      <c r="I218" s="1">
        <v>45992</v>
      </c>
      <c r="J218" t="s">
        <v>13</v>
      </c>
      <c r="K218" t="str">
        <v>Available</v>
      </c>
      <c r="L218" t="str">
        <v>Available</v>
      </c>
      <c r="M218" t="str">
        <v>Available</v>
      </c>
      <c r="N218" t="str">
        <f t="shared" si="3"/>
        <v>Complete</v>
      </c>
    </row>
    <row r="219" spans="1:14" x14ac:dyDescent="0.35">
      <c r="A219" t="s">
        <v>39</v>
      </c>
      <c r="B219">
        <v>2025</v>
      </c>
      <c r="C219" t="s">
        <v>22</v>
      </c>
      <c r="D219" t="s">
        <v>12</v>
      </c>
      <c r="E219" s="2">
        <v>973.31</v>
      </c>
      <c r="F219" s="2">
        <v>1184.3</v>
      </c>
      <c r="G219" s="2">
        <v>131.46</v>
      </c>
      <c r="H219" s="1">
        <v>46241.25277777778</v>
      </c>
      <c r="I219" s="1">
        <v>45992</v>
      </c>
      <c r="J219" t="s">
        <v>13</v>
      </c>
      <c r="K219" t="str">
        <v>Available</v>
      </c>
      <c r="L219" t="str">
        <v>Available</v>
      </c>
      <c r="M219" t="str">
        <v>Available</v>
      </c>
      <c r="N219" t="str">
        <f t="shared" si="3"/>
        <v>Complete</v>
      </c>
    </row>
    <row r="220" spans="1:14" x14ac:dyDescent="0.35">
      <c r="A220" t="s">
        <v>39</v>
      </c>
      <c r="B220">
        <v>2025</v>
      </c>
      <c r="C220" t="s">
        <v>23</v>
      </c>
      <c r="D220" t="s">
        <v>12</v>
      </c>
      <c r="E220" s="2">
        <v>165.52</v>
      </c>
      <c r="F220" s="2">
        <v>1031.3599999999999</v>
      </c>
      <c r="G220" s="2">
        <v>114.49</v>
      </c>
      <c r="H220" s="1">
        <v>46241.25277777778</v>
      </c>
      <c r="I220" s="1">
        <v>45992</v>
      </c>
      <c r="J220" t="s">
        <v>13</v>
      </c>
      <c r="K220" t="str">
        <v>Available</v>
      </c>
      <c r="L220" t="str">
        <v>Available</v>
      </c>
      <c r="M220" t="str">
        <v>Available</v>
      </c>
      <c r="N220" t="str">
        <f t="shared" si="3"/>
        <v>Complete</v>
      </c>
    </row>
    <row r="221" spans="1:14" x14ac:dyDescent="0.35">
      <c r="A221" t="s">
        <v>39</v>
      </c>
      <c r="B221">
        <v>2025</v>
      </c>
      <c r="C221" t="s">
        <v>24</v>
      </c>
      <c r="D221" t="s">
        <v>12</v>
      </c>
      <c r="E221" s="2">
        <v>3814.65</v>
      </c>
      <c r="F221" s="2">
        <v>14408.01</v>
      </c>
      <c r="G221" s="2">
        <v>1599.64</v>
      </c>
      <c r="H221" s="1">
        <v>46241.25277777778</v>
      </c>
      <c r="I221" s="1">
        <v>45992</v>
      </c>
      <c r="J221" t="s">
        <v>25</v>
      </c>
      <c r="K221" t="str">
        <v>Available</v>
      </c>
      <c r="L221" t="str">
        <v>Available</v>
      </c>
      <c r="M221" t="str">
        <v>Available</v>
      </c>
      <c r="N221" t="str">
        <f t="shared" si="3"/>
        <v>Complete</v>
      </c>
    </row>
    <row r="222" spans="1:14" x14ac:dyDescent="0.35">
      <c r="A222" t="s">
        <v>39</v>
      </c>
      <c r="B222">
        <v>2025</v>
      </c>
      <c r="C222" t="s">
        <v>26</v>
      </c>
      <c r="D222" t="s">
        <v>12</v>
      </c>
      <c r="E222" s="2">
        <v>25402.799999999999</v>
      </c>
      <c r="F222" s="2">
        <v>103358.8</v>
      </c>
      <c r="G222" s="2">
        <v>11473.12</v>
      </c>
      <c r="H222" s="1">
        <v>46241.25277777778</v>
      </c>
      <c r="I222" s="1">
        <v>45992</v>
      </c>
      <c r="J222" t="s">
        <v>25</v>
      </c>
      <c r="K222" t="str">
        <v>Available</v>
      </c>
      <c r="L222" t="str">
        <v>Available</v>
      </c>
      <c r="M222" t="str">
        <v>Available</v>
      </c>
      <c r="N222" t="str">
        <f t="shared" si="3"/>
        <v>Complete</v>
      </c>
    </row>
    <row r="223" spans="1:14" x14ac:dyDescent="0.35">
      <c r="A223" t="s">
        <v>39</v>
      </c>
      <c r="B223">
        <v>2025</v>
      </c>
      <c r="C223" t="s">
        <v>14</v>
      </c>
      <c r="D223" t="s">
        <v>27</v>
      </c>
      <c r="E223" s="2">
        <v>49.39</v>
      </c>
      <c r="F223" s="2">
        <v>274.14999999999998</v>
      </c>
      <c r="G223" s="2">
        <v>31.91</v>
      </c>
      <c r="H223" s="1">
        <v>46241.25277777778</v>
      </c>
      <c r="I223" s="1">
        <v>45992</v>
      </c>
      <c r="J223" t="s">
        <v>13</v>
      </c>
      <c r="K223" t="str">
        <v>Available</v>
      </c>
      <c r="L223" t="str">
        <v>Available</v>
      </c>
      <c r="M223" t="str">
        <v>Available</v>
      </c>
      <c r="N223" t="str">
        <f t="shared" si="3"/>
        <v>Complete</v>
      </c>
    </row>
    <row r="224" spans="1:14" x14ac:dyDescent="0.35">
      <c r="A224" t="s">
        <v>39</v>
      </c>
      <c r="B224">
        <v>2025</v>
      </c>
      <c r="C224" t="s">
        <v>15</v>
      </c>
      <c r="D224" t="s">
        <v>27</v>
      </c>
      <c r="E224" s="2">
        <v>1550.24</v>
      </c>
      <c r="F224" s="2">
        <v>8753.44</v>
      </c>
      <c r="G224" s="2">
        <v>956.83</v>
      </c>
      <c r="H224" s="1">
        <v>46241.25277777778</v>
      </c>
      <c r="I224" s="1">
        <v>45992</v>
      </c>
      <c r="J224" t="s">
        <v>13</v>
      </c>
      <c r="K224" t="str">
        <v>Available</v>
      </c>
      <c r="L224" t="str">
        <v>Available</v>
      </c>
      <c r="M224" t="str">
        <v>Available</v>
      </c>
      <c r="N224" t="str">
        <f t="shared" si="3"/>
        <v>Complete</v>
      </c>
    </row>
    <row r="225" spans="1:14" x14ac:dyDescent="0.35">
      <c r="A225" t="s">
        <v>39</v>
      </c>
      <c r="B225">
        <v>2025</v>
      </c>
      <c r="C225" t="s">
        <v>16</v>
      </c>
      <c r="D225" t="s">
        <v>27</v>
      </c>
      <c r="E225" s="2">
        <v>385.49</v>
      </c>
      <c r="F225" s="2">
        <v>1818.98</v>
      </c>
      <c r="G225" s="2">
        <v>202.02</v>
      </c>
      <c r="H225" s="1">
        <v>46241.25277777778</v>
      </c>
      <c r="I225" s="1">
        <v>45992</v>
      </c>
      <c r="J225" t="s">
        <v>13</v>
      </c>
      <c r="K225" t="str">
        <v>Available</v>
      </c>
      <c r="L225" t="str">
        <v>Available</v>
      </c>
      <c r="M225" t="str">
        <v>Available</v>
      </c>
      <c r="N225" t="str">
        <f t="shared" si="3"/>
        <v>Complete</v>
      </c>
    </row>
    <row r="226" spans="1:14" x14ac:dyDescent="0.35">
      <c r="A226" t="s">
        <v>39</v>
      </c>
      <c r="B226">
        <v>2025</v>
      </c>
      <c r="C226" t="s">
        <v>17</v>
      </c>
      <c r="D226" t="s">
        <v>27</v>
      </c>
      <c r="E226" s="2">
        <v>628.65</v>
      </c>
      <c r="F226" s="2">
        <v>3699.36</v>
      </c>
      <c r="G226" s="2">
        <v>403.45</v>
      </c>
      <c r="H226" s="1">
        <v>46241.25277777778</v>
      </c>
      <c r="I226" s="1">
        <v>45992</v>
      </c>
      <c r="J226" t="s">
        <v>13</v>
      </c>
      <c r="K226" t="str">
        <v>Available</v>
      </c>
      <c r="L226" t="str">
        <v>Available</v>
      </c>
      <c r="M226" t="str">
        <v>Available</v>
      </c>
      <c r="N226" t="str">
        <f t="shared" si="3"/>
        <v>Complete</v>
      </c>
    </row>
    <row r="227" spans="1:14" x14ac:dyDescent="0.35">
      <c r="A227" t="s">
        <v>39</v>
      </c>
      <c r="B227">
        <v>2025</v>
      </c>
      <c r="C227" t="s">
        <v>28</v>
      </c>
      <c r="D227" t="s">
        <v>27</v>
      </c>
      <c r="E227" s="2">
        <v>1.1399999999999999</v>
      </c>
      <c r="F227" s="2">
        <v>8.59</v>
      </c>
      <c r="G227" s="2">
        <v>1</v>
      </c>
      <c r="H227" s="1">
        <v>46241.25277777778</v>
      </c>
      <c r="I227" s="1">
        <v>45992</v>
      </c>
      <c r="J227" t="s">
        <v>13</v>
      </c>
      <c r="K227" t="str">
        <v>Available</v>
      </c>
      <c r="L227" t="str">
        <v>Available</v>
      </c>
      <c r="M227" t="str">
        <v>Available</v>
      </c>
      <c r="N227" t="str">
        <f t="shared" si="3"/>
        <v>Complete</v>
      </c>
    </row>
    <row r="228" spans="1:14" x14ac:dyDescent="0.35">
      <c r="A228" t="s">
        <v>39</v>
      </c>
      <c r="B228">
        <v>2025</v>
      </c>
      <c r="C228" t="s">
        <v>18</v>
      </c>
      <c r="D228" t="s">
        <v>27</v>
      </c>
      <c r="E228" s="2">
        <v>2340.5100000000002</v>
      </c>
      <c r="F228" s="2">
        <v>13057.38</v>
      </c>
      <c r="G228" s="2">
        <v>1422.41</v>
      </c>
      <c r="H228" s="1">
        <v>46241.25277777778</v>
      </c>
      <c r="I228" s="1">
        <v>45992</v>
      </c>
      <c r="J228" t="s">
        <v>13</v>
      </c>
      <c r="K228" t="str">
        <v>Available</v>
      </c>
      <c r="L228" t="str">
        <v>Available</v>
      </c>
      <c r="M228" t="str">
        <v>Available</v>
      </c>
      <c r="N228" t="str">
        <f t="shared" si="3"/>
        <v>Complete</v>
      </c>
    </row>
    <row r="229" spans="1:14" x14ac:dyDescent="0.35">
      <c r="A229" t="s">
        <v>39</v>
      </c>
      <c r="B229">
        <v>2025</v>
      </c>
      <c r="C229" t="s">
        <v>19</v>
      </c>
      <c r="D229" t="s">
        <v>27</v>
      </c>
      <c r="E229" s="2">
        <v>0.88</v>
      </c>
      <c r="F229" s="2">
        <v>12.5</v>
      </c>
      <c r="G229" s="2">
        <v>1.39</v>
      </c>
      <c r="H229" s="1">
        <v>46241.25277777778</v>
      </c>
      <c r="I229" s="1">
        <v>45992</v>
      </c>
      <c r="J229" t="s">
        <v>13</v>
      </c>
      <c r="K229" t="str">
        <v>Available</v>
      </c>
      <c r="L229" t="str">
        <v>Available</v>
      </c>
      <c r="M229" t="str">
        <v>Available</v>
      </c>
      <c r="N229" t="str">
        <f t="shared" si="3"/>
        <v>Complete</v>
      </c>
    </row>
    <row r="230" spans="1:14" x14ac:dyDescent="0.35">
      <c r="A230" t="s">
        <v>39</v>
      </c>
      <c r="B230">
        <v>2025</v>
      </c>
      <c r="C230" t="s">
        <v>20</v>
      </c>
      <c r="D230" t="s">
        <v>27</v>
      </c>
      <c r="E230" s="2">
        <v>193.99</v>
      </c>
      <c r="F230" s="2">
        <v>551.65</v>
      </c>
      <c r="G230" s="2">
        <v>61.24</v>
      </c>
      <c r="H230" s="1">
        <v>46241.25277777778</v>
      </c>
      <c r="I230" s="1">
        <v>45992</v>
      </c>
      <c r="J230" t="s">
        <v>13</v>
      </c>
      <c r="K230" t="str">
        <v>Available</v>
      </c>
      <c r="L230" t="str">
        <v>Available</v>
      </c>
      <c r="M230" t="str">
        <v>Available</v>
      </c>
      <c r="N230" t="str">
        <f t="shared" si="3"/>
        <v>Complete</v>
      </c>
    </row>
    <row r="231" spans="1:14" x14ac:dyDescent="0.35">
      <c r="A231" t="s">
        <v>39</v>
      </c>
      <c r="B231">
        <v>2025</v>
      </c>
      <c r="C231" t="s">
        <v>21</v>
      </c>
      <c r="D231" t="s">
        <v>27</v>
      </c>
      <c r="E231" s="2">
        <v>4.42</v>
      </c>
      <c r="F231" s="2">
        <v>18.850000000000001</v>
      </c>
      <c r="G231" s="2">
        <v>2.13</v>
      </c>
      <c r="H231" s="1">
        <v>46241.25277777778</v>
      </c>
      <c r="I231" s="1">
        <v>45992</v>
      </c>
      <c r="J231" t="s">
        <v>13</v>
      </c>
      <c r="K231" t="str">
        <v>Available</v>
      </c>
      <c r="L231" t="str">
        <v>Available</v>
      </c>
      <c r="M231" t="str">
        <v>Available</v>
      </c>
      <c r="N231" t="str">
        <f t="shared" si="3"/>
        <v>Complete</v>
      </c>
    </row>
    <row r="232" spans="1:14" x14ac:dyDescent="0.35">
      <c r="A232" t="s">
        <v>39</v>
      </c>
      <c r="B232">
        <v>2025</v>
      </c>
      <c r="C232" t="s">
        <v>29</v>
      </c>
      <c r="D232" t="s">
        <v>27</v>
      </c>
      <c r="E232" s="2">
        <v>75.569999999999993</v>
      </c>
      <c r="F232" s="2">
        <v>425.67</v>
      </c>
      <c r="G232" s="2">
        <v>47.42</v>
      </c>
      <c r="H232" s="1">
        <v>46241.25277777778</v>
      </c>
      <c r="I232" s="1">
        <v>45992</v>
      </c>
      <c r="J232" t="s">
        <v>13</v>
      </c>
      <c r="K232" t="str">
        <v>Available</v>
      </c>
      <c r="L232" t="str">
        <v>Available</v>
      </c>
      <c r="M232" t="str">
        <v>Available</v>
      </c>
      <c r="N232" t="str">
        <f t="shared" si="3"/>
        <v>Complete</v>
      </c>
    </row>
    <row r="233" spans="1:14" x14ac:dyDescent="0.35">
      <c r="A233" t="s">
        <v>39</v>
      </c>
      <c r="B233">
        <v>2025</v>
      </c>
      <c r="C233" t="s">
        <v>23</v>
      </c>
      <c r="D233" t="s">
        <v>27</v>
      </c>
      <c r="E233" s="2">
        <v>192.61</v>
      </c>
      <c r="F233" s="2">
        <v>1044.24</v>
      </c>
      <c r="G233" s="2">
        <v>115.52</v>
      </c>
      <c r="H233" s="1">
        <v>46241.25277777778</v>
      </c>
      <c r="I233" s="1">
        <v>45992</v>
      </c>
      <c r="J233" t="s">
        <v>13</v>
      </c>
      <c r="K233" t="str">
        <v>Available</v>
      </c>
      <c r="L233" t="str">
        <v>Available</v>
      </c>
      <c r="M233" t="str">
        <v>Available</v>
      </c>
      <c r="N233" t="str">
        <f t="shared" si="3"/>
        <v>Complete</v>
      </c>
    </row>
    <row r="234" spans="1:14" x14ac:dyDescent="0.35">
      <c r="A234" t="s">
        <v>39</v>
      </c>
      <c r="B234">
        <v>2025</v>
      </c>
      <c r="C234" t="s">
        <v>30</v>
      </c>
      <c r="D234" t="s">
        <v>27</v>
      </c>
      <c r="E234" s="2">
        <v>5422.88</v>
      </c>
      <c r="F234" s="2">
        <v>29664.81</v>
      </c>
      <c r="G234" s="2">
        <v>3245.32</v>
      </c>
      <c r="H234" s="1">
        <v>46241.25277777778</v>
      </c>
      <c r="I234" s="1">
        <v>45992</v>
      </c>
      <c r="J234" t="s">
        <v>25</v>
      </c>
      <c r="K234" t="str">
        <v>Available</v>
      </c>
      <c r="L234" t="str">
        <v>Available</v>
      </c>
      <c r="M234" t="str">
        <v>Available</v>
      </c>
      <c r="N234" t="str">
        <f t="shared" si="3"/>
        <v>Complete</v>
      </c>
    </row>
    <row r="235" spans="1:14" x14ac:dyDescent="0.35">
      <c r="A235" t="s">
        <v>39</v>
      </c>
      <c r="B235">
        <v>2025</v>
      </c>
      <c r="C235" t="s">
        <v>31</v>
      </c>
      <c r="D235" t="s">
        <v>27</v>
      </c>
      <c r="E235" s="2">
        <v>19979.919999999998</v>
      </c>
      <c r="F235" s="2">
        <v>73693.98</v>
      </c>
      <c r="G235" s="2">
        <v>8227.7900000000009</v>
      </c>
      <c r="H235" s="1">
        <v>46241.25277777778</v>
      </c>
      <c r="I235" s="1">
        <v>45992</v>
      </c>
      <c r="J235" t="s">
        <v>25</v>
      </c>
      <c r="K235" t="str">
        <v>Available</v>
      </c>
      <c r="L235" t="str">
        <v>Available</v>
      </c>
      <c r="M235" t="str">
        <v>Available</v>
      </c>
      <c r="N235" t="str">
        <f t="shared" si="3"/>
        <v>Complete</v>
      </c>
    </row>
    <row r="236" spans="1:14" x14ac:dyDescent="0.35">
      <c r="A236" t="s">
        <v>40</v>
      </c>
      <c r="B236">
        <v>2026</v>
      </c>
      <c r="C236" t="s">
        <v>11</v>
      </c>
      <c r="D236" t="s">
        <v>12</v>
      </c>
      <c r="E236" s="2">
        <v>21094.11</v>
      </c>
      <c r="F236" s="2">
        <v>86086.86</v>
      </c>
      <c r="G236" s="2">
        <v>9506.74</v>
      </c>
      <c r="H236" s="1">
        <v>46241.25277777778</v>
      </c>
      <c r="I236" s="1">
        <v>46023</v>
      </c>
      <c r="J236" t="s">
        <v>13</v>
      </c>
      <c r="K236" t="str">
        <v>Available</v>
      </c>
      <c r="L236" t="str">
        <v>Available</v>
      </c>
      <c r="M236" t="str">
        <v>Available</v>
      </c>
      <c r="N236" t="str">
        <f t="shared" si="3"/>
        <v>Complete</v>
      </c>
    </row>
    <row r="237" spans="1:14" x14ac:dyDescent="0.35">
      <c r="A237" t="s">
        <v>40</v>
      </c>
      <c r="B237">
        <v>2026</v>
      </c>
      <c r="C237" t="s">
        <v>14</v>
      </c>
      <c r="D237" t="s">
        <v>12</v>
      </c>
      <c r="E237" s="2">
        <v>2171.73</v>
      </c>
      <c r="F237" s="2">
        <v>10117.5</v>
      </c>
      <c r="G237" s="2">
        <v>1113.99</v>
      </c>
      <c r="H237" s="1">
        <v>46241.25277777778</v>
      </c>
      <c r="I237" s="1">
        <v>46023</v>
      </c>
      <c r="J237" t="s">
        <v>13</v>
      </c>
      <c r="K237" t="str">
        <v>Available</v>
      </c>
      <c r="L237" t="str">
        <v>Available</v>
      </c>
      <c r="M237" t="str">
        <v>Available</v>
      </c>
      <c r="N237" t="str">
        <f t="shared" si="3"/>
        <v>Complete</v>
      </c>
    </row>
    <row r="238" spans="1:14" x14ac:dyDescent="0.35">
      <c r="A238" t="s">
        <v>40</v>
      </c>
      <c r="B238">
        <v>2026</v>
      </c>
      <c r="C238" t="s">
        <v>15</v>
      </c>
      <c r="D238" t="s">
        <v>12</v>
      </c>
      <c r="H238" s="1">
        <v>46241.25277777778</v>
      </c>
      <c r="I238" s="1">
        <v>46023</v>
      </c>
      <c r="J238" t="s">
        <v>13</v>
      </c>
      <c r="K238" t="str">
        <v>Missing</v>
      </c>
      <c r="L238" t="str">
        <v>Missing</v>
      </c>
      <c r="M238" t="str">
        <v>Missing</v>
      </c>
      <c r="N238" t="str">
        <f t="shared" si="3"/>
        <v>Missing Data</v>
      </c>
    </row>
    <row r="239" spans="1:14" x14ac:dyDescent="0.35">
      <c r="A239" t="s">
        <v>40</v>
      </c>
      <c r="B239">
        <v>2026</v>
      </c>
      <c r="C239" t="s">
        <v>16</v>
      </c>
      <c r="D239" t="s">
        <v>12</v>
      </c>
      <c r="E239" s="2">
        <v>115.11</v>
      </c>
      <c r="F239" s="2">
        <v>574.4</v>
      </c>
      <c r="G239" s="2">
        <v>63.54</v>
      </c>
      <c r="H239" s="1">
        <v>46241.25277777778</v>
      </c>
      <c r="I239" s="1">
        <v>46023</v>
      </c>
      <c r="J239" t="s">
        <v>13</v>
      </c>
      <c r="K239" t="str">
        <v>Available</v>
      </c>
      <c r="L239" t="str">
        <v>Available</v>
      </c>
      <c r="M239" t="str">
        <v>Available</v>
      </c>
      <c r="N239" t="str">
        <f t="shared" si="3"/>
        <v>Complete</v>
      </c>
    </row>
    <row r="240" spans="1:14" x14ac:dyDescent="0.35">
      <c r="A240" t="s">
        <v>40</v>
      </c>
      <c r="B240">
        <v>2026</v>
      </c>
      <c r="C240" t="s">
        <v>17</v>
      </c>
      <c r="D240" t="s">
        <v>12</v>
      </c>
      <c r="E240" s="2">
        <v>0.01</v>
      </c>
      <c r="F240" s="2">
        <v>0.04</v>
      </c>
      <c r="G240" s="2">
        <v>0</v>
      </c>
      <c r="H240" s="1">
        <v>46241.25277777778</v>
      </c>
      <c r="I240" s="1">
        <v>46023</v>
      </c>
      <c r="J240" t="s">
        <v>13</v>
      </c>
      <c r="K240" t="str">
        <v>Available</v>
      </c>
      <c r="L240" t="str">
        <v>Available</v>
      </c>
      <c r="M240" t="str">
        <v>Available</v>
      </c>
      <c r="N240" t="str">
        <f t="shared" si="3"/>
        <v>Complete</v>
      </c>
    </row>
    <row r="241" spans="1:14" x14ac:dyDescent="0.35">
      <c r="A241" t="s">
        <v>40</v>
      </c>
      <c r="B241">
        <v>2026</v>
      </c>
      <c r="C241" t="s">
        <v>18</v>
      </c>
      <c r="D241" t="s">
        <v>12</v>
      </c>
      <c r="E241" s="2">
        <v>3.22</v>
      </c>
      <c r="F241" s="2">
        <v>20.45</v>
      </c>
      <c r="G241" s="2">
        <v>2.25</v>
      </c>
      <c r="H241" s="1">
        <v>46241.25277777778</v>
      </c>
      <c r="I241" s="1">
        <v>46023</v>
      </c>
      <c r="J241" t="s">
        <v>13</v>
      </c>
      <c r="K241" t="str">
        <v>Available</v>
      </c>
      <c r="L241" t="str">
        <v>Available</v>
      </c>
      <c r="M241" t="str">
        <v>Available</v>
      </c>
      <c r="N241" t="str">
        <f t="shared" si="3"/>
        <v>Complete</v>
      </c>
    </row>
    <row r="242" spans="1:14" x14ac:dyDescent="0.35">
      <c r="A242" t="s">
        <v>40</v>
      </c>
      <c r="B242">
        <v>2026</v>
      </c>
      <c r="C242" t="s">
        <v>19</v>
      </c>
      <c r="D242" t="s">
        <v>12</v>
      </c>
      <c r="E242" s="2">
        <v>212.46</v>
      </c>
      <c r="F242" s="2">
        <v>1609.26</v>
      </c>
      <c r="G242" s="2">
        <v>176.91</v>
      </c>
      <c r="H242" s="1">
        <v>46241.25277777778</v>
      </c>
      <c r="I242" s="1">
        <v>46023</v>
      </c>
      <c r="J242" t="s">
        <v>13</v>
      </c>
      <c r="K242" t="str">
        <v>Available</v>
      </c>
      <c r="L242" t="str">
        <v>Available</v>
      </c>
      <c r="M242" t="str">
        <v>Available</v>
      </c>
      <c r="N242" t="str">
        <f t="shared" si="3"/>
        <v>Complete</v>
      </c>
    </row>
    <row r="243" spans="1:14" x14ac:dyDescent="0.35">
      <c r="A243" t="s">
        <v>40</v>
      </c>
      <c r="B243">
        <v>2026</v>
      </c>
      <c r="C243" t="s">
        <v>20</v>
      </c>
      <c r="D243" t="s">
        <v>12</v>
      </c>
      <c r="E243" s="2">
        <v>492.03</v>
      </c>
      <c r="F243" s="2">
        <v>1528.23</v>
      </c>
      <c r="G243" s="2">
        <v>168.61</v>
      </c>
      <c r="H243" s="1">
        <v>46241.25277777778</v>
      </c>
      <c r="I243" s="1">
        <v>46023</v>
      </c>
      <c r="J243" t="s">
        <v>13</v>
      </c>
      <c r="K243" t="str">
        <v>Available</v>
      </c>
      <c r="L243" t="str">
        <v>Available</v>
      </c>
      <c r="M243" t="str">
        <v>Available</v>
      </c>
      <c r="N243" t="str">
        <f t="shared" si="3"/>
        <v>Complete</v>
      </c>
    </row>
    <row r="244" spans="1:14" x14ac:dyDescent="0.35">
      <c r="A244" t="s">
        <v>40</v>
      </c>
      <c r="B244">
        <v>2026</v>
      </c>
      <c r="C244" t="s">
        <v>21</v>
      </c>
      <c r="D244" t="s">
        <v>12</v>
      </c>
      <c r="E244" s="2">
        <v>269.08999999999997</v>
      </c>
      <c r="F244" s="2">
        <v>702.73</v>
      </c>
      <c r="G244" s="2">
        <v>77.39</v>
      </c>
      <c r="H244" s="1">
        <v>46241.25277777778</v>
      </c>
      <c r="I244" s="1">
        <v>46023</v>
      </c>
      <c r="J244" t="s">
        <v>13</v>
      </c>
      <c r="K244" t="str">
        <v>Available</v>
      </c>
      <c r="L244" t="str">
        <v>Available</v>
      </c>
      <c r="M244" t="str">
        <v>Available</v>
      </c>
      <c r="N244" t="str">
        <f t="shared" si="3"/>
        <v>Complete</v>
      </c>
    </row>
    <row r="245" spans="1:14" x14ac:dyDescent="0.35">
      <c r="A245" t="s">
        <v>40</v>
      </c>
      <c r="B245">
        <v>2026</v>
      </c>
      <c r="C245" t="s">
        <v>22</v>
      </c>
      <c r="D245" t="s">
        <v>12</v>
      </c>
      <c r="E245" s="2">
        <v>608.91</v>
      </c>
      <c r="F245" s="2">
        <v>780.95</v>
      </c>
      <c r="G245" s="2">
        <v>86.01</v>
      </c>
      <c r="H245" s="1">
        <v>46241.25277777778</v>
      </c>
      <c r="I245" s="1">
        <v>46023</v>
      </c>
      <c r="J245" t="s">
        <v>13</v>
      </c>
      <c r="K245" t="str">
        <v>Available</v>
      </c>
      <c r="L245" t="str">
        <v>Available</v>
      </c>
      <c r="M245" t="str">
        <v>Available</v>
      </c>
      <c r="N245" t="str">
        <f t="shared" si="3"/>
        <v>Complete</v>
      </c>
    </row>
    <row r="246" spans="1:14" x14ac:dyDescent="0.35">
      <c r="A246" t="s">
        <v>40</v>
      </c>
      <c r="B246">
        <v>2026</v>
      </c>
      <c r="C246" t="s">
        <v>23</v>
      </c>
      <c r="D246" t="s">
        <v>12</v>
      </c>
      <c r="E246" s="2">
        <v>148.91</v>
      </c>
      <c r="F246" s="2">
        <v>857.1</v>
      </c>
      <c r="G246" s="2">
        <v>94.26</v>
      </c>
      <c r="H246" s="1">
        <v>46241.25277777778</v>
      </c>
      <c r="I246" s="1">
        <v>46023</v>
      </c>
      <c r="J246" t="s">
        <v>13</v>
      </c>
      <c r="K246" t="str">
        <v>Available</v>
      </c>
      <c r="L246" t="str">
        <v>Available</v>
      </c>
      <c r="M246" t="str">
        <v>Available</v>
      </c>
      <c r="N246" t="str">
        <f t="shared" si="3"/>
        <v>Complete</v>
      </c>
    </row>
    <row r="247" spans="1:14" x14ac:dyDescent="0.35">
      <c r="A247" t="s">
        <v>40</v>
      </c>
      <c r="B247">
        <v>2026</v>
      </c>
      <c r="C247" t="s">
        <v>24</v>
      </c>
      <c r="D247" t="s">
        <v>12</v>
      </c>
      <c r="E247" s="2">
        <v>4021.46</v>
      </c>
      <c r="F247" s="2">
        <v>16190.65</v>
      </c>
      <c r="G247" s="2">
        <v>1782.96</v>
      </c>
      <c r="H247" s="1">
        <v>46241.25277777778</v>
      </c>
      <c r="I247" s="1">
        <v>46023</v>
      </c>
      <c r="J247" t="s">
        <v>25</v>
      </c>
      <c r="K247" t="str">
        <v>Available</v>
      </c>
      <c r="L247" t="str">
        <v>Available</v>
      </c>
      <c r="M247" t="str">
        <v>Available</v>
      </c>
      <c r="N247" t="str">
        <f t="shared" si="3"/>
        <v>Complete</v>
      </c>
    </row>
    <row r="248" spans="1:14" x14ac:dyDescent="0.35">
      <c r="A248" t="s">
        <v>40</v>
      </c>
      <c r="B248">
        <v>2026</v>
      </c>
      <c r="C248" t="s">
        <v>26</v>
      </c>
      <c r="D248" t="s">
        <v>12</v>
      </c>
      <c r="E248" s="2">
        <v>25115.57</v>
      </c>
      <c r="F248" s="2">
        <v>102277.5</v>
      </c>
      <c r="G248" s="2">
        <v>11289.7</v>
      </c>
      <c r="H248" s="1">
        <v>46241.25277777778</v>
      </c>
      <c r="I248" s="1">
        <v>46023</v>
      </c>
      <c r="J248" t="s">
        <v>25</v>
      </c>
      <c r="K248" t="str">
        <v>Available</v>
      </c>
      <c r="L248" t="str">
        <v>Available</v>
      </c>
      <c r="M248" t="str">
        <v>Available</v>
      </c>
      <c r="N248" t="str">
        <f t="shared" si="3"/>
        <v>Complete</v>
      </c>
    </row>
    <row r="249" spans="1:14" x14ac:dyDescent="0.35">
      <c r="A249" t="s">
        <v>40</v>
      </c>
      <c r="B249">
        <v>2026</v>
      </c>
      <c r="C249" t="s">
        <v>14</v>
      </c>
      <c r="D249" t="s">
        <v>27</v>
      </c>
      <c r="E249" s="2">
        <v>48.17</v>
      </c>
      <c r="F249" s="2">
        <v>287.91000000000003</v>
      </c>
      <c r="G249" s="2">
        <v>33.51</v>
      </c>
      <c r="H249" s="1">
        <v>46241.25277777778</v>
      </c>
      <c r="I249" s="1">
        <v>46023</v>
      </c>
      <c r="J249" t="s">
        <v>13</v>
      </c>
      <c r="K249" t="str">
        <v>Available</v>
      </c>
      <c r="L249" t="str">
        <v>Available</v>
      </c>
      <c r="M249" t="str">
        <v>Available</v>
      </c>
      <c r="N249" t="str">
        <f t="shared" si="3"/>
        <v>Complete</v>
      </c>
    </row>
    <row r="250" spans="1:14" x14ac:dyDescent="0.35">
      <c r="A250" t="s">
        <v>40</v>
      </c>
      <c r="B250">
        <v>2026</v>
      </c>
      <c r="C250" t="s">
        <v>15</v>
      </c>
      <c r="D250" t="s">
        <v>27</v>
      </c>
      <c r="E250" s="2">
        <v>1405.77</v>
      </c>
      <c r="F250" s="2">
        <v>8292.84</v>
      </c>
      <c r="G250" s="2">
        <v>901.83</v>
      </c>
      <c r="H250" s="1">
        <v>46241.25277777778</v>
      </c>
      <c r="I250" s="1">
        <v>46023</v>
      </c>
      <c r="J250" t="s">
        <v>13</v>
      </c>
      <c r="K250" t="str">
        <v>Available</v>
      </c>
      <c r="L250" t="str">
        <v>Available</v>
      </c>
      <c r="M250" t="str">
        <v>Available</v>
      </c>
      <c r="N250" t="str">
        <f t="shared" si="3"/>
        <v>Complete</v>
      </c>
    </row>
    <row r="251" spans="1:14" x14ac:dyDescent="0.35">
      <c r="A251" t="s">
        <v>40</v>
      </c>
      <c r="B251">
        <v>2026</v>
      </c>
      <c r="C251" t="s">
        <v>16</v>
      </c>
      <c r="D251" t="s">
        <v>27</v>
      </c>
      <c r="E251" s="2">
        <v>303.62</v>
      </c>
      <c r="F251" s="2">
        <v>1389.6</v>
      </c>
      <c r="G251" s="2">
        <v>152.69999999999999</v>
      </c>
      <c r="H251" s="1">
        <v>46241.25277777778</v>
      </c>
      <c r="I251" s="1">
        <v>46023</v>
      </c>
      <c r="J251" t="s">
        <v>13</v>
      </c>
      <c r="K251" t="str">
        <v>Available</v>
      </c>
      <c r="L251" t="str">
        <v>Available</v>
      </c>
      <c r="M251" t="str">
        <v>Available</v>
      </c>
      <c r="N251" t="str">
        <f t="shared" si="3"/>
        <v>Complete</v>
      </c>
    </row>
    <row r="252" spans="1:14" x14ac:dyDescent="0.35">
      <c r="A252" t="s">
        <v>40</v>
      </c>
      <c r="B252">
        <v>2026</v>
      </c>
      <c r="C252" t="s">
        <v>17</v>
      </c>
      <c r="D252" t="s">
        <v>27</v>
      </c>
      <c r="E252" s="2">
        <v>499.84</v>
      </c>
      <c r="F252" s="2">
        <v>2959.15</v>
      </c>
      <c r="G252" s="2">
        <v>318.62</v>
      </c>
      <c r="H252" s="1">
        <v>46241.25277777778</v>
      </c>
      <c r="I252" s="1">
        <v>46023</v>
      </c>
      <c r="J252" t="s">
        <v>13</v>
      </c>
      <c r="K252" t="str">
        <v>Available</v>
      </c>
      <c r="L252" t="str">
        <v>Available</v>
      </c>
      <c r="M252" t="str">
        <v>Available</v>
      </c>
      <c r="N252" t="str">
        <f t="shared" si="3"/>
        <v>Complete</v>
      </c>
    </row>
    <row r="253" spans="1:14" x14ac:dyDescent="0.35">
      <c r="A253" t="s">
        <v>40</v>
      </c>
      <c r="B253">
        <v>2026</v>
      </c>
      <c r="C253" t="s">
        <v>28</v>
      </c>
      <c r="D253" t="s">
        <v>27</v>
      </c>
      <c r="E253" s="2">
        <v>1.59</v>
      </c>
      <c r="F253" s="2">
        <v>10.88</v>
      </c>
      <c r="G253" s="2">
        <v>1.26</v>
      </c>
      <c r="H253" s="1">
        <v>46241.25277777778</v>
      </c>
      <c r="I253" s="1">
        <v>46023</v>
      </c>
      <c r="J253" t="s">
        <v>13</v>
      </c>
      <c r="K253" t="str">
        <v>Available</v>
      </c>
      <c r="L253" t="str">
        <v>Available</v>
      </c>
      <c r="M253" t="str">
        <v>Available</v>
      </c>
      <c r="N253" t="str">
        <f t="shared" si="3"/>
        <v>Complete</v>
      </c>
    </row>
    <row r="254" spans="1:14" x14ac:dyDescent="0.35">
      <c r="A254" t="s">
        <v>40</v>
      </c>
      <c r="B254">
        <v>2026</v>
      </c>
      <c r="C254" t="s">
        <v>18</v>
      </c>
      <c r="D254" t="s">
        <v>27</v>
      </c>
      <c r="E254" s="2">
        <v>2380.8000000000002</v>
      </c>
      <c r="F254" s="2">
        <v>13312.98</v>
      </c>
      <c r="G254" s="2">
        <v>1435.13</v>
      </c>
      <c r="H254" s="1">
        <v>46241.25277777778</v>
      </c>
      <c r="I254" s="1">
        <v>46023</v>
      </c>
      <c r="J254" t="s">
        <v>13</v>
      </c>
      <c r="K254" t="str">
        <v>Available</v>
      </c>
      <c r="L254" t="str">
        <v>Available</v>
      </c>
      <c r="M254" t="str">
        <v>Available</v>
      </c>
      <c r="N254" t="str">
        <f t="shared" si="3"/>
        <v>Complete</v>
      </c>
    </row>
    <row r="255" spans="1:14" x14ac:dyDescent="0.35">
      <c r="A255" t="s">
        <v>40</v>
      </c>
      <c r="B255">
        <v>2026</v>
      </c>
      <c r="C255" t="s">
        <v>19</v>
      </c>
      <c r="D255" t="s">
        <v>27</v>
      </c>
      <c r="E255" s="2">
        <v>1.07</v>
      </c>
      <c r="F255" s="2">
        <v>14.07</v>
      </c>
      <c r="G255" s="2">
        <v>1.55</v>
      </c>
      <c r="H255" s="1">
        <v>46241.25277777778</v>
      </c>
      <c r="I255" s="1">
        <v>46023</v>
      </c>
      <c r="J255" t="s">
        <v>13</v>
      </c>
      <c r="K255" t="str">
        <v>Available</v>
      </c>
      <c r="L255" t="str">
        <v>Available</v>
      </c>
      <c r="M255" t="str">
        <v>Available</v>
      </c>
      <c r="N255" t="str">
        <f t="shared" si="3"/>
        <v>Complete</v>
      </c>
    </row>
    <row r="256" spans="1:14" x14ac:dyDescent="0.35">
      <c r="A256" t="s">
        <v>40</v>
      </c>
      <c r="B256">
        <v>2026</v>
      </c>
      <c r="C256" t="s">
        <v>20</v>
      </c>
      <c r="D256" t="s">
        <v>27</v>
      </c>
      <c r="E256" s="2">
        <v>98.73</v>
      </c>
      <c r="F256" s="2">
        <v>302.66000000000003</v>
      </c>
      <c r="G256" s="2">
        <v>33.28</v>
      </c>
      <c r="H256" s="1">
        <v>46241.25277777778</v>
      </c>
      <c r="I256" s="1">
        <v>46023</v>
      </c>
      <c r="J256" t="s">
        <v>13</v>
      </c>
      <c r="K256" t="str">
        <v>Available</v>
      </c>
      <c r="L256" t="str">
        <v>Available</v>
      </c>
      <c r="M256" t="str">
        <v>Available</v>
      </c>
      <c r="N256" t="str">
        <f t="shared" si="3"/>
        <v>Complete</v>
      </c>
    </row>
    <row r="257" spans="1:14" x14ac:dyDescent="0.35">
      <c r="A257" t="s">
        <v>40</v>
      </c>
      <c r="B257">
        <v>2026</v>
      </c>
      <c r="C257" t="s">
        <v>21</v>
      </c>
      <c r="D257" t="s">
        <v>27</v>
      </c>
      <c r="E257" s="2">
        <v>1.08</v>
      </c>
      <c r="F257" s="2">
        <v>4.7699999999999996</v>
      </c>
      <c r="G257" s="2">
        <v>0.53</v>
      </c>
      <c r="H257" s="1">
        <v>46241.25277777778</v>
      </c>
      <c r="I257" s="1">
        <v>46023</v>
      </c>
      <c r="J257" t="s">
        <v>13</v>
      </c>
      <c r="K257" t="str">
        <v>Available</v>
      </c>
      <c r="L257" t="str">
        <v>Available</v>
      </c>
      <c r="M257" t="str">
        <v>Available</v>
      </c>
      <c r="N257" t="str">
        <f t="shared" si="3"/>
        <v>Complete</v>
      </c>
    </row>
    <row r="258" spans="1:14" x14ac:dyDescent="0.35">
      <c r="A258" t="s">
        <v>40</v>
      </c>
      <c r="B258">
        <v>2026</v>
      </c>
      <c r="C258" t="s">
        <v>29</v>
      </c>
      <c r="D258" t="s">
        <v>27</v>
      </c>
      <c r="E258" s="2">
        <v>20.51</v>
      </c>
      <c r="F258" s="2">
        <v>120.58</v>
      </c>
      <c r="G258" s="2">
        <v>13.1</v>
      </c>
      <c r="H258" s="1">
        <v>46241.25277777778</v>
      </c>
      <c r="I258" s="1">
        <v>46023</v>
      </c>
      <c r="J258" t="s">
        <v>13</v>
      </c>
      <c r="K258" t="str">
        <v>Available</v>
      </c>
      <c r="L258" t="str">
        <v>Available</v>
      </c>
      <c r="M258" t="str">
        <v>Available</v>
      </c>
      <c r="N258" t="str">
        <f t="shared" si="3"/>
        <v>Complete</v>
      </c>
    </row>
    <row r="259" spans="1:14" x14ac:dyDescent="0.35">
      <c r="A259" t="s">
        <v>40</v>
      </c>
      <c r="B259">
        <v>2026</v>
      </c>
      <c r="C259" t="s">
        <v>23</v>
      </c>
      <c r="D259" t="s">
        <v>27</v>
      </c>
      <c r="E259" s="2">
        <v>148.32</v>
      </c>
      <c r="F259" s="2">
        <v>839.01</v>
      </c>
      <c r="G259" s="2">
        <v>92.07</v>
      </c>
      <c r="H259" s="1">
        <v>46241.25277777778</v>
      </c>
      <c r="I259" s="1">
        <v>46023</v>
      </c>
      <c r="J259" t="s">
        <v>13</v>
      </c>
      <c r="K259" t="str">
        <v>Available</v>
      </c>
      <c r="L259" t="str">
        <v>Available</v>
      </c>
      <c r="M259" t="str">
        <v>Available</v>
      </c>
      <c r="N259" t="str">
        <f t="shared" ref="N259:N313" si="4">IF(AND(NOT(ISBLANK(E259)),NOT(ISBLANK(F259)),NOT(ISBLANK(G259))),"Complete","Missing Data")</f>
        <v>Complete</v>
      </c>
    </row>
    <row r="260" spans="1:14" x14ac:dyDescent="0.35">
      <c r="A260" t="s">
        <v>40</v>
      </c>
      <c r="B260">
        <v>2026</v>
      </c>
      <c r="C260" t="s">
        <v>30</v>
      </c>
      <c r="D260" t="s">
        <v>27</v>
      </c>
      <c r="E260" s="2">
        <v>4909.49</v>
      </c>
      <c r="F260" s="2">
        <v>27534.45</v>
      </c>
      <c r="G260" s="2">
        <v>2983.58</v>
      </c>
      <c r="H260" s="1">
        <v>46241.25277777778</v>
      </c>
      <c r="I260" s="1">
        <v>46023</v>
      </c>
      <c r="J260" t="s">
        <v>25</v>
      </c>
      <c r="K260" t="str">
        <v>Available</v>
      </c>
      <c r="L260" t="str">
        <v>Available</v>
      </c>
      <c r="M260" t="str">
        <v>Available</v>
      </c>
      <c r="N260" t="str">
        <f t="shared" si="4"/>
        <v>Complete</v>
      </c>
    </row>
    <row r="261" spans="1:14" x14ac:dyDescent="0.35">
      <c r="A261" t="s">
        <v>40</v>
      </c>
      <c r="B261">
        <v>2026</v>
      </c>
      <c r="C261" t="s">
        <v>31</v>
      </c>
      <c r="D261" t="s">
        <v>27</v>
      </c>
      <c r="E261" s="2">
        <v>20206.080000000002</v>
      </c>
      <c r="F261" s="2">
        <v>74743.05</v>
      </c>
      <c r="G261" s="2">
        <v>8306.1200000000008</v>
      </c>
      <c r="H261" s="1">
        <v>46241.25277777778</v>
      </c>
      <c r="I261" s="1">
        <v>46023</v>
      </c>
      <c r="J261" t="s">
        <v>25</v>
      </c>
      <c r="K261" t="str">
        <v>Available</v>
      </c>
      <c r="L261" t="str">
        <v>Available</v>
      </c>
      <c r="M261" t="str">
        <v>Available</v>
      </c>
      <c r="N261" t="str">
        <f t="shared" si="4"/>
        <v>Complete</v>
      </c>
    </row>
    <row r="262" spans="1:14" x14ac:dyDescent="0.35">
      <c r="A262" t="s">
        <v>41</v>
      </c>
      <c r="B262">
        <v>2026</v>
      </c>
      <c r="C262" t="s">
        <v>11</v>
      </c>
      <c r="D262" t="s">
        <v>12</v>
      </c>
      <c r="E262" s="2">
        <v>20127.79</v>
      </c>
      <c r="F262" s="2">
        <v>88294.92</v>
      </c>
      <c r="G262" s="2">
        <v>9678.16</v>
      </c>
      <c r="H262" s="1">
        <v>46241.25277777778</v>
      </c>
      <c r="I262" s="1">
        <v>46054</v>
      </c>
      <c r="J262" t="s">
        <v>13</v>
      </c>
      <c r="K262" t="str">
        <v>Available</v>
      </c>
      <c r="L262" t="str">
        <v>Available</v>
      </c>
      <c r="M262" t="str">
        <v>Available</v>
      </c>
      <c r="N262" t="str">
        <f t="shared" si="4"/>
        <v>Complete</v>
      </c>
    </row>
    <row r="263" spans="1:14" x14ac:dyDescent="0.35">
      <c r="A263" t="s">
        <v>41</v>
      </c>
      <c r="B263">
        <v>2026</v>
      </c>
      <c r="C263" t="s">
        <v>14</v>
      </c>
      <c r="D263" t="s">
        <v>12</v>
      </c>
      <c r="E263" s="2">
        <v>1700.38</v>
      </c>
      <c r="F263" s="2">
        <v>8235.83</v>
      </c>
      <c r="G263" s="2">
        <v>907.69</v>
      </c>
      <c r="H263" s="1">
        <v>46241.25277777778</v>
      </c>
      <c r="I263" s="1">
        <v>46054</v>
      </c>
      <c r="J263" t="s">
        <v>13</v>
      </c>
      <c r="K263" t="str">
        <v>Available</v>
      </c>
      <c r="L263" t="str">
        <v>Available</v>
      </c>
      <c r="M263" t="str">
        <v>Available</v>
      </c>
      <c r="N263" t="str">
        <f t="shared" si="4"/>
        <v>Complete</v>
      </c>
    </row>
    <row r="264" spans="1:14" x14ac:dyDescent="0.35">
      <c r="A264" t="s">
        <v>41</v>
      </c>
      <c r="B264">
        <v>2026</v>
      </c>
      <c r="C264" t="s">
        <v>15</v>
      </c>
      <c r="D264" t="s">
        <v>12</v>
      </c>
      <c r="H264" s="1">
        <v>46241.25277777778</v>
      </c>
      <c r="I264" s="1">
        <v>46054</v>
      </c>
      <c r="J264" t="s">
        <v>13</v>
      </c>
      <c r="K264" t="str">
        <v>Missing</v>
      </c>
      <c r="L264" t="str">
        <v>Missing</v>
      </c>
      <c r="M264" t="str">
        <v>Missing</v>
      </c>
      <c r="N264" t="str">
        <f t="shared" si="4"/>
        <v>Missing Data</v>
      </c>
    </row>
    <row r="265" spans="1:14" x14ac:dyDescent="0.35">
      <c r="A265" t="s">
        <v>41</v>
      </c>
      <c r="B265">
        <v>2026</v>
      </c>
      <c r="C265" t="s">
        <v>16</v>
      </c>
      <c r="D265" t="s">
        <v>12</v>
      </c>
      <c r="E265" s="2">
        <v>69.959999999999994</v>
      </c>
      <c r="F265" s="2">
        <v>346.45</v>
      </c>
      <c r="G265" s="2">
        <v>38.18</v>
      </c>
      <c r="H265" s="1">
        <v>46241.25277777778</v>
      </c>
      <c r="I265" s="1">
        <v>46054</v>
      </c>
      <c r="J265" t="s">
        <v>13</v>
      </c>
      <c r="K265" t="str">
        <v>Available</v>
      </c>
      <c r="L265" t="str">
        <v>Available</v>
      </c>
      <c r="M265" t="str">
        <v>Available</v>
      </c>
      <c r="N265" t="str">
        <f t="shared" si="4"/>
        <v>Complete</v>
      </c>
    </row>
    <row r="266" spans="1:14" x14ac:dyDescent="0.35">
      <c r="A266" t="s">
        <v>41</v>
      </c>
      <c r="B266">
        <v>2026</v>
      </c>
      <c r="C266" t="s">
        <v>17</v>
      </c>
      <c r="D266" t="s">
        <v>12</v>
      </c>
      <c r="E266" s="2">
        <v>0.01</v>
      </c>
      <c r="F266" s="2">
        <v>7.0000000000000007E-2</v>
      </c>
      <c r="G266" s="2">
        <v>0.01</v>
      </c>
      <c r="H266" s="1">
        <v>46241.25277777778</v>
      </c>
      <c r="I266" s="1">
        <v>46054</v>
      </c>
      <c r="J266" t="s">
        <v>13</v>
      </c>
      <c r="K266" t="str">
        <v>Available</v>
      </c>
      <c r="L266" t="str">
        <v>Available</v>
      </c>
      <c r="M266" t="str">
        <v>Available</v>
      </c>
      <c r="N266" t="str">
        <f t="shared" si="4"/>
        <v>Complete</v>
      </c>
    </row>
    <row r="267" spans="1:14" x14ac:dyDescent="0.35">
      <c r="A267" t="s">
        <v>41</v>
      </c>
      <c r="B267">
        <v>2026</v>
      </c>
      <c r="C267" t="s">
        <v>18</v>
      </c>
      <c r="D267" t="s">
        <v>12</v>
      </c>
      <c r="E267" s="2">
        <v>6.77</v>
      </c>
      <c r="F267" s="2">
        <v>42.9</v>
      </c>
      <c r="G267" s="2">
        <v>4.7300000000000004</v>
      </c>
      <c r="H267" s="1">
        <v>46241.25277777778</v>
      </c>
      <c r="I267" s="1">
        <v>46054</v>
      </c>
      <c r="J267" t="s">
        <v>13</v>
      </c>
      <c r="K267" t="str">
        <v>Available</v>
      </c>
      <c r="L267" t="str">
        <v>Available</v>
      </c>
      <c r="M267" t="str">
        <v>Available</v>
      </c>
      <c r="N267" t="str">
        <f t="shared" si="4"/>
        <v>Complete</v>
      </c>
    </row>
    <row r="268" spans="1:14" x14ac:dyDescent="0.35">
      <c r="A268" t="s">
        <v>41</v>
      </c>
      <c r="B268">
        <v>2026</v>
      </c>
      <c r="C268" t="s">
        <v>19</v>
      </c>
      <c r="D268" t="s">
        <v>12</v>
      </c>
      <c r="E268" s="2">
        <v>281.3</v>
      </c>
      <c r="F268" s="2">
        <v>2094.61</v>
      </c>
      <c r="G268" s="2">
        <v>230.87</v>
      </c>
      <c r="H268" s="1">
        <v>46241.25277777778</v>
      </c>
      <c r="I268" s="1">
        <v>46054</v>
      </c>
      <c r="J268" t="s">
        <v>13</v>
      </c>
      <c r="K268" t="str">
        <v>Available</v>
      </c>
      <c r="L268" t="str">
        <v>Available</v>
      </c>
      <c r="M268" t="str">
        <v>Available</v>
      </c>
      <c r="N268" t="str">
        <f t="shared" si="4"/>
        <v>Complete</v>
      </c>
    </row>
    <row r="269" spans="1:14" x14ac:dyDescent="0.35">
      <c r="A269" t="s">
        <v>41</v>
      </c>
      <c r="B269">
        <v>2026</v>
      </c>
      <c r="C269" t="s">
        <v>20</v>
      </c>
      <c r="D269" t="s">
        <v>12</v>
      </c>
      <c r="E269" s="2">
        <v>318.60000000000002</v>
      </c>
      <c r="F269" s="2">
        <v>1155</v>
      </c>
      <c r="G269" s="2">
        <v>127.3</v>
      </c>
      <c r="H269" s="1">
        <v>46241.25277777778</v>
      </c>
      <c r="I269" s="1">
        <v>46054</v>
      </c>
      <c r="J269" t="s">
        <v>13</v>
      </c>
      <c r="K269" t="str">
        <v>Available</v>
      </c>
      <c r="L269" t="str">
        <v>Available</v>
      </c>
      <c r="M269" t="str">
        <v>Available</v>
      </c>
      <c r="N269" t="str">
        <f t="shared" si="4"/>
        <v>Complete</v>
      </c>
    </row>
    <row r="270" spans="1:14" x14ac:dyDescent="0.35">
      <c r="A270" t="s">
        <v>41</v>
      </c>
      <c r="B270">
        <v>2026</v>
      </c>
      <c r="C270" t="s">
        <v>21</v>
      </c>
      <c r="D270" t="s">
        <v>12</v>
      </c>
      <c r="E270" s="2">
        <v>234.62</v>
      </c>
      <c r="F270" s="2">
        <v>794.17</v>
      </c>
      <c r="G270" s="2">
        <v>87.52</v>
      </c>
      <c r="H270" s="1">
        <v>46241.25277777778</v>
      </c>
      <c r="I270" s="1">
        <v>46054</v>
      </c>
      <c r="J270" t="s">
        <v>13</v>
      </c>
      <c r="K270" t="str">
        <v>Available</v>
      </c>
      <c r="L270" t="str">
        <v>Available</v>
      </c>
      <c r="M270" t="str">
        <v>Available</v>
      </c>
      <c r="N270" t="str">
        <f t="shared" si="4"/>
        <v>Complete</v>
      </c>
    </row>
    <row r="271" spans="1:14" x14ac:dyDescent="0.35">
      <c r="A271" t="s">
        <v>41</v>
      </c>
      <c r="B271">
        <v>2026</v>
      </c>
      <c r="C271" t="s">
        <v>22</v>
      </c>
      <c r="D271" t="s">
        <v>12</v>
      </c>
      <c r="E271" s="2">
        <v>188.92</v>
      </c>
      <c r="F271" s="2">
        <v>468.09</v>
      </c>
      <c r="G271" s="2">
        <v>51.59</v>
      </c>
      <c r="H271" s="1">
        <v>46241.25277777778</v>
      </c>
      <c r="I271" s="1">
        <v>46054</v>
      </c>
      <c r="J271" t="s">
        <v>13</v>
      </c>
      <c r="K271" t="str">
        <v>Available</v>
      </c>
      <c r="L271" t="str">
        <v>Available</v>
      </c>
      <c r="M271" t="str">
        <v>Available</v>
      </c>
      <c r="N271" t="str">
        <f t="shared" si="4"/>
        <v>Complete</v>
      </c>
    </row>
    <row r="272" spans="1:14" x14ac:dyDescent="0.35">
      <c r="A272" t="s">
        <v>41</v>
      </c>
      <c r="B272">
        <v>2026</v>
      </c>
      <c r="C272" t="s">
        <v>23</v>
      </c>
      <c r="D272" t="s">
        <v>12</v>
      </c>
      <c r="E272" s="2">
        <v>144.83000000000001</v>
      </c>
      <c r="F272" s="2">
        <v>822.94</v>
      </c>
      <c r="G272" s="2">
        <v>90.7</v>
      </c>
      <c r="H272" s="1">
        <v>46241.25277777778</v>
      </c>
      <c r="I272" s="1">
        <v>46054</v>
      </c>
      <c r="J272" t="s">
        <v>13</v>
      </c>
      <c r="K272" t="str">
        <v>Available</v>
      </c>
      <c r="L272" t="str">
        <v>Available</v>
      </c>
      <c r="M272" t="str">
        <v>Available</v>
      </c>
      <c r="N272" t="str">
        <f t="shared" si="4"/>
        <v>Complete</v>
      </c>
    </row>
    <row r="273" spans="1:14" x14ac:dyDescent="0.35">
      <c r="A273" t="s">
        <v>41</v>
      </c>
      <c r="B273">
        <v>2026</v>
      </c>
      <c r="C273" t="s">
        <v>24</v>
      </c>
      <c r="D273" t="s">
        <v>12</v>
      </c>
      <c r="E273" s="2">
        <v>2945.37</v>
      </c>
      <c r="F273" s="2">
        <v>13960.06</v>
      </c>
      <c r="G273" s="2">
        <v>1538.58</v>
      </c>
      <c r="H273" s="1">
        <v>46241.25277777778</v>
      </c>
      <c r="I273" s="1">
        <v>46054</v>
      </c>
      <c r="J273" t="s">
        <v>25</v>
      </c>
      <c r="K273" t="str">
        <v>Available</v>
      </c>
      <c r="L273" t="str">
        <v>Available</v>
      </c>
      <c r="M273" t="str">
        <v>Available</v>
      </c>
      <c r="N273" t="str">
        <f t="shared" si="4"/>
        <v>Complete</v>
      </c>
    </row>
    <row r="274" spans="1:14" x14ac:dyDescent="0.35">
      <c r="A274" t="s">
        <v>41</v>
      </c>
      <c r="B274">
        <v>2026</v>
      </c>
      <c r="C274" t="s">
        <v>26</v>
      </c>
      <c r="D274" t="s">
        <v>12</v>
      </c>
      <c r="E274" s="2">
        <v>23073.17</v>
      </c>
      <c r="F274" s="2">
        <v>102254.98</v>
      </c>
      <c r="G274" s="2">
        <v>11216.74</v>
      </c>
      <c r="H274" s="1">
        <v>46241.25277777778</v>
      </c>
      <c r="I274" s="1">
        <v>46054</v>
      </c>
      <c r="J274" t="s">
        <v>25</v>
      </c>
      <c r="K274" t="str">
        <v>Available</v>
      </c>
      <c r="L274" t="str">
        <v>Available</v>
      </c>
      <c r="M274" t="str">
        <v>Available</v>
      </c>
      <c r="N274" t="str">
        <f t="shared" si="4"/>
        <v>Complete</v>
      </c>
    </row>
    <row r="275" spans="1:14" x14ac:dyDescent="0.35">
      <c r="A275" t="s">
        <v>41</v>
      </c>
      <c r="B275">
        <v>2026</v>
      </c>
      <c r="C275" t="s">
        <v>14</v>
      </c>
      <c r="D275" t="s">
        <v>27</v>
      </c>
      <c r="E275" s="2">
        <v>50.29</v>
      </c>
      <c r="F275" s="2">
        <v>311.38</v>
      </c>
      <c r="G275" s="2">
        <v>36.25</v>
      </c>
      <c r="H275" s="1">
        <v>46241.25277777778</v>
      </c>
      <c r="I275" s="1">
        <v>46054</v>
      </c>
      <c r="J275" t="s">
        <v>13</v>
      </c>
      <c r="K275" t="str">
        <v>Available</v>
      </c>
      <c r="L275" t="str">
        <v>Available</v>
      </c>
      <c r="M275" t="str">
        <v>Available</v>
      </c>
      <c r="N275" t="str">
        <f t="shared" si="4"/>
        <v>Complete</v>
      </c>
    </row>
    <row r="276" spans="1:14" x14ac:dyDescent="0.35">
      <c r="A276" t="s">
        <v>41</v>
      </c>
      <c r="B276">
        <v>2026</v>
      </c>
      <c r="C276" t="s">
        <v>15</v>
      </c>
      <c r="D276" t="s">
        <v>27</v>
      </c>
      <c r="E276" s="2">
        <v>1386.62</v>
      </c>
      <c r="F276" s="2">
        <v>8350.9500000000007</v>
      </c>
      <c r="G276" s="2">
        <v>908.71</v>
      </c>
      <c r="H276" s="1">
        <v>46241.25277777778</v>
      </c>
      <c r="I276" s="1">
        <v>46054</v>
      </c>
      <c r="J276" t="s">
        <v>13</v>
      </c>
      <c r="K276" t="str">
        <v>Available</v>
      </c>
      <c r="L276" t="str">
        <v>Available</v>
      </c>
      <c r="M276" t="str">
        <v>Available</v>
      </c>
      <c r="N276" t="str">
        <f t="shared" si="4"/>
        <v>Complete</v>
      </c>
    </row>
    <row r="277" spans="1:14" x14ac:dyDescent="0.35">
      <c r="A277" t="s">
        <v>41</v>
      </c>
      <c r="B277">
        <v>2026</v>
      </c>
      <c r="C277" t="s">
        <v>16</v>
      </c>
      <c r="D277" t="s">
        <v>27</v>
      </c>
      <c r="E277" s="2">
        <v>532.73</v>
      </c>
      <c r="F277" s="2">
        <v>2841.58</v>
      </c>
      <c r="G277" s="2">
        <v>313.05</v>
      </c>
      <c r="H277" s="1">
        <v>46241.25277777778</v>
      </c>
      <c r="I277" s="1">
        <v>46054</v>
      </c>
      <c r="J277" t="s">
        <v>13</v>
      </c>
      <c r="K277" t="str">
        <v>Available</v>
      </c>
      <c r="L277" t="str">
        <v>Available</v>
      </c>
      <c r="M277" t="str">
        <v>Available</v>
      </c>
      <c r="N277" t="str">
        <f t="shared" si="4"/>
        <v>Complete</v>
      </c>
    </row>
    <row r="278" spans="1:14" x14ac:dyDescent="0.35">
      <c r="A278" t="s">
        <v>41</v>
      </c>
      <c r="B278">
        <v>2026</v>
      </c>
      <c r="C278" t="s">
        <v>17</v>
      </c>
      <c r="D278" t="s">
        <v>27</v>
      </c>
      <c r="E278" s="2">
        <v>361.9</v>
      </c>
      <c r="F278" s="2">
        <v>2265.69</v>
      </c>
      <c r="G278" s="2">
        <v>245.83</v>
      </c>
      <c r="H278" s="1">
        <v>46241.25277777778</v>
      </c>
      <c r="I278" s="1">
        <v>46054</v>
      </c>
      <c r="J278" t="s">
        <v>13</v>
      </c>
      <c r="K278" t="str">
        <v>Available</v>
      </c>
      <c r="L278" t="str">
        <v>Available</v>
      </c>
      <c r="M278" t="str">
        <v>Available</v>
      </c>
      <c r="N278" t="str">
        <f t="shared" si="4"/>
        <v>Complete</v>
      </c>
    </row>
    <row r="279" spans="1:14" x14ac:dyDescent="0.35">
      <c r="A279" t="s">
        <v>41</v>
      </c>
      <c r="B279">
        <v>2026</v>
      </c>
      <c r="C279" t="s">
        <v>28</v>
      </c>
      <c r="D279" t="s">
        <v>27</v>
      </c>
      <c r="E279" s="2">
        <v>1.43</v>
      </c>
      <c r="F279" s="2">
        <v>9.52</v>
      </c>
      <c r="G279" s="2">
        <v>1.1100000000000001</v>
      </c>
      <c r="H279" s="1">
        <v>46241.25277777778</v>
      </c>
      <c r="I279" s="1">
        <v>46054</v>
      </c>
      <c r="J279" t="s">
        <v>13</v>
      </c>
      <c r="K279" t="str">
        <v>Available</v>
      </c>
      <c r="L279" t="str">
        <v>Available</v>
      </c>
      <c r="M279" t="str">
        <v>Available</v>
      </c>
      <c r="N279" t="str">
        <f t="shared" si="4"/>
        <v>Complete</v>
      </c>
    </row>
    <row r="280" spans="1:14" x14ac:dyDescent="0.35">
      <c r="A280" t="s">
        <v>41</v>
      </c>
      <c r="B280">
        <v>2026</v>
      </c>
      <c r="C280" t="s">
        <v>18</v>
      </c>
      <c r="D280" t="s">
        <v>27</v>
      </c>
      <c r="E280" s="2">
        <v>1704.52</v>
      </c>
      <c r="F280" s="2">
        <v>10343.719999999999</v>
      </c>
      <c r="G280" s="2">
        <v>1108.82</v>
      </c>
      <c r="H280" s="1">
        <v>46241.25277777778</v>
      </c>
      <c r="I280" s="1">
        <v>46054</v>
      </c>
      <c r="J280" t="s">
        <v>13</v>
      </c>
      <c r="K280" t="str">
        <v>Available</v>
      </c>
      <c r="L280" t="str">
        <v>Available</v>
      </c>
      <c r="M280" t="str">
        <v>Available</v>
      </c>
      <c r="N280" t="str">
        <f t="shared" si="4"/>
        <v>Complete</v>
      </c>
    </row>
    <row r="281" spans="1:14" x14ac:dyDescent="0.35">
      <c r="A281" t="s">
        <v>41</v>
      </c>
      <c r="B281">
        <v>2026</v>
      </c>
      <c r="C281" t="s">
        <v>19</v>
      </c>
      <c r="D281" t="s">
        <v>27</v>
      </c>
      <c r="E281" s="2">
        <v>1.05</v>
      </c>
      <c r="F281" s="2">
        <v>14.17</v>
      </c>
      <c r="G281" s="2">
        <v>1.55</v>
      </c>
      <c r="H281" s="1">
        <v>46241.25277777778</v>
      </c>
      <c r="I281" s="1">
        <v>46054</v>
      </c>
      <c r="J281" t="s">
        <v>13</v>
      </c>
      <c r="K281" t="str">
        <v>Available</v>
      </c>
      <c r="L281" t="str">
        <v>Available</v>
      </c>
      <c r="M281" t="str">
        <v>Available</v>
      </c>
      <c r="N281" t="str">
        <f t="shared" si="4"/>
        <v>Complete</v>
      </c>
    </row>
    <row r="282" spans="1:14" x14ac:dyDescent="0.35">
      <c r="A282" t="s">
        <v>41</v>
      </c>
      <c r="B282">
        <v>2026</v>
      </c>
      <c r="C282" t="s">
        <v>20</v>
      </c>
      <c r="D282" t="s">
        <v>27</v>
      </c>
      <c r="E282" s="2">
        <v>190.33</v>
      </c>
      <c r="F282" s="2">
        <v>739.36</v>
      </c>
      <c r="G282" s="2">
        <v>81.22</v>
      </c>
      <c r="H282" s="1">
        <v>46241.25277777778</v>
      </c>
      <c r="I282" s="1">
        <v>46054</v>
      </c>
      <c r="J282" t="s">
        <v>13</v>
      </c>
      <c r="K282" t="str">
        <v>Available</v>
      </c>
      <c r="L282" t="str">
        <v>Available</v>
      </c>
      <c r="M282" t="str">
        <v>Available</v>
      </c>
      <c r="N282" t="str">
        <f t="shared" si="4"/>
        <v>Complete</v>
      </c>
    </row>
    <row r="283" spans="1:14" x14ac:dyDescent="0.35">
      <c r="A283" t="s">
        <v>41</v>
      </c>
      <c r="B283">
        <v>2026</v>
      </c>
      <c r="C283" t="s">
        <v>21</v>
      </c>
      <c r="D283" t="s">
        <v>27</v>
      </c>
      <c r="E283" s="2">
        <v>4.01</v>
      </c>
      <c r="F283" s="2">
        <v>18.54</v>
      </c>
      <c r="G283" s="2">
        <v>2.06</v>
      </c>
      <c r="H283" s="1">
        <v>46241.25277777778</v>
      </c>
      <c r="I283" s="1">
        <v>46054</v>
      </c>
      <c r="J283" t="s">
        <v>13</v>
      </c>
      <c r="K283" t="str">
        <v>Available</v>
      </c>
      <c r="L283" t="str">
        <v>Available</v>
      </c>
      <c r="M283" t="str">
        <v>Available</v>
      </c>
      <c r="N283" t="str">
        <f t="shared" si="4"/>
        <v>Complete</v>
      </c>
    </row>
    <row r="284" spans="1:14" x14ac:dyDescent="0.35">
      <c r="A284" t="s">
        <v>41</v>
      </c>
      <c r="B284">
        <v>2026</v>
      </c>
      <c r="C284" t="s">
        <v>29</v>
      </c>
      <c r="D284" t="s">
        <v>27</v>
      </c>
      <c r="H284" s="1">
        <v>46241.25277777778</v>
      </c>
      <c r="I284" s="1">
        <v>46054</v>
      </c>
      <c r="J284" t="s">
        <v>13</v>
      </c>
      <c r="K284" t="str">
        <v>Missing</v>
      </c>
      <c r="L284" t="str">
        <v>Missing</v>
      </c>
      <c r="M284" t="str">
        <v>Missing</v>
      </c>
      <c r="N284" t="str">
        <f t="shared" si="4"/>
        <v>Missing Data</v>
      </c>
    </row>
    <row r="285" spans="1:14" x14ac:dyDescent="0.35">
      <c r="A285" t="s">
        <v>41</v>
      </c>
      <c r="B285">
        <v>2026</v>
      </c>
      <c r="C285" t="s">
        <v>23</v>
      </c>
      <c r="D285" t="s">
        <v>27</v>
      </c>
      <c r="E285" s="2">
        <v>125.31</v>
      </c>
      <c r="F285" s="2">
        <v>711.03</v>
      </c>
      <c r="G285" s="2">
        <v>77.77</v>
      </c>
      <c r="H285" s="1">
        <v>46241.25277777778</v>
      </c>
      <c r="I285" s="1">
        <v>46054</v>
      </c>
      <c r="J285" t="s">
        <v>13</v>
      </c>
      <c r="K285" t="str">
        <v>Available</v>
      </c>
      <c r="L285" t="str">
        <v>Available</v>
      </c>
      <c r="M285" t="str">
        <v>Available</v>
      </c>
      <c r="N285" t="str">
        <f t="shared" si="4"/>
        <v>Complete</v>
      </c>
    </row>
    <row r="286" spans="1:14" x14ac:dyDescent="0.35">
      <c r="A286" t="s">
        <v>41</v>
      </c>
      <c r="B286">
        <v>2026</v>
      </c>
      <c r="C286" t="s">
        <v>30</v>
      </c>
      <c r="D286" t="s">
        <v>27</v>
      </c>
      <c r="E286" s="2">
        <v>4358.18</v>
      </c>
      <c r="F286" s="2">
        <v>25605.94</v>
      </c>
      <c r="G286" s="2">
        <v>2776.37</v>
      </c>
      <c r="H286" s="1">
        <v>46241.25277777778</v>
      </c>
      <c r="I286" s="1">
        <v>46054</v>
      </c>
      <c r="J286" t="s">
        <v>25</v>
      </c>
      <c r="K286" t="str">
        <v>Available</v>
      </c>
      <c r="L286" t="str">
        <v>Available</v>
      </c>
      <c r="M286" t="str">
        <v>Available</v>
      </c>
      <c r="N286" t="str">
        <f t="shared" si="4"/>
        <v>Complete</v>
      </c>
    </row>
    <row r="287" spans="1:14" x14ac:dyDescent="0.35">
      <c r="A287" t="s">
        <v>41</v>
      </c>
      <c r="B287">
        <v>2026</v>
      </c>
      <c r="C287" t="s">
        <v>31</v>
      </c>
      <c r="D287" t="s">
        <v>27</v>
      </c>
      <c r="E287" s="2">
        <v>18714.990000000002</v>
      </c>
      <c r="F287" s="2">
        <v>76649.039999999994</v>
      </c>
      <c r="G287" s="2">
        <v>8440.3799999999992</v>
      </c>
      <c r="H287" s="1">
        <v>46241.25277777778</v>
      </c>
      <c r="I287" s="1">
        <v>46054</v>
      </c>
      <c r="J287" t="s">
        <v>25</v>
      </c>
      <c r="K287" t="str">
        <v>Available</v>
      </c>
      <c r="L287" t="str">
        <v>Available</v>
      </c>
      <c r="M287" t="str">
        <v>Available</v>
      </c>
      <c r="N287" t="str">
        <f t="shared" si="4"/>
        <v>Complete</v>
      </c>
    </row>
    <row r="288" spans="1:14" x14ac:dyDescent="0.35">
      <c r="A288" t="s">
        <v>42</v>
      </c>
      <c r="B288">
        <v>2026</v>
      </c>
      <c r="C288" t="s">
        <v>11</v>
      </c>
      <c r="D288" t="s">
        <v>12</v>
      </c>
      <c r="E288" s="2">
        <v>19389.13</v>
      </c>
      <c r="F288" s="2">
        <v>123399.95</v>
      </c>
      <c r="G288" s="2">
        <v>13332.09</v>
      </c>
      <c r="H288" s="1">
        <v>46241.25277777778</v>
      </c>
      <c r="I288" s="1">
        <v>46082</v>
      </c>
      <c r="J288" t="s">
        <v>13</v>
      </c>
      <c r="K288" t="str">
        <v>Available</v>
      </c>
      <c r="L288" t="str">
        <v>Available</v>
      </c>
      <c r="M288" t="str">
        <v>Available</v>
      </c>
      <c r="N288" t="str">
        <f t="shared" si="4"/>
        <v>Complete</v>
      </c>
    </row>
    <row r="289" spans="1:14" x14ac:dyDescent="0.35">
      <c r="A289" t="s">
        <v>42</v>
      </c>
      <c r="B289">
        <v>2026</v>
      </c>
      <c r="C289" t="s">
        <v>14</v>
      </c>
      <c r="D289" t="s">
        <v>12</v>
      </c>
      <c r="E289" s="2">
        <v>806.79</v>
      </c>
      <c r="F289" s="2">
        <v>4508.66</v>
      </c>
      <c r="G289" s="2">
        <v>488.81</v>
      </c>
      <c r="H289" s="1">
        <v>46241.25277777778</v>
      </c>
      <c r="I289" s="1">
        <v>46082</v>
      </c>
      <c r="J289" t="s">
        <v>13</v>
      </c>
      <c r="K289" t="str">
        <v>Available</v>
      </c>
      <c r="L289" t="str">
        <v>Available</v>
      </c>
      <c r="M289" t="str">
        <v>Available</v>
      </c>
      <c r="N289" t="str">
        <f t="shared" si="4"/>
        <v>Complete</v>
      </c>
    </row>
    <row r="290" spans="1:14" x14ac:dyDescent="0.35">
      <c r="A290" t="s">
        <v>42</v>
      </c>
      <c r="B290">
        <v>2026</v>
      </c>
      <c r="C290" t="s">
        <v>15</v>
      </c>
      <c r="D290" t="s">
        <v>12</v>
      </c>
      <c r="E290" s="2">
        <v>0</v>
      </c>
      <c r="F290" s="2">
        <v>0.34</v>
      </c>
      <c r="G290" s="2">
        <v>0.04</v>
      </c>
      <c r="H290" s="1">
        <v>46241.25277777778</v>
      </c>
      <c r="I290" s="1">
        <v>46082</v>
      </c>
      <c r="J290" t="s">
        <v>13</v>
      </c>
      <c r="K290" t="str">
        <v>Available</v>
      </c>
      <c r="L290" t="str">
        <v>Available</v>
      </c>
      <c r="M290" t="str">
        <v>Available</v>
      </c>
      <c r="N290" t="str">
        <f t="shared" si="4"/>
        <v>Complete</v>
      </c>
    </row>
    <row r="291" spans="1:14" x14ac:dyDescent="0.35">
      <c r="A291" t="s">
        <v>42</v>
      </c>
      <c r="B291">
        <v>2026</v>
      </c>
      <c r="C291" t="s">
        <v>16</v>
      </c>
      <c r="D291" t="s">
        <v>12</v>
      </c>
      <c r="E291" s="2">
        <v>121.05</v>
      </c>
      <c r="F291" s="2">
        <v>915.32</v>
      </c>
      <c r="G291" s="2">
        <v>98</v>
      </c>
      <c r="H291" s="1">
        <v>46241.25277777778</v>
      </c>
      <c r="I291" s="1">
        <v>46082</v>
      </c>
      <c r="J291" t="s">
        <v>13</v>
      </c>
      <c r="K291" t="str">
        <v>Available</v>
      </c>
      <c r="L291" t="str">
        <v>Available</v>
      </c>
      <c r="M291" t="str">
        <v>Available</v>
      </c>
      <c r="N291" t="str">
        <f t="shared" si="4"/>
        <v>Complete</v>
      </c>
    </row>
    <row r="292" spans="1:14" x14ac:dyDescent="0.35">
      <c r="A292" t="s">
        <v>42</v>
      </c>
      <c r="B292">
        <v>2026</v>
      </c>
      <c r="C292" t="s">
        <v>17</v>
      </c>
      <c r="D292" t="s">
        <v>12</v>
      </c>
      <c r="E292" s="2">
        <v>0.26</v>
      </c>
      <c r="F292" s="2">
        <v>2.42</v>
      </c>
      <c r="G292" s="2">
        <v>0.26</v>
      </c>
      <c r="H292" s="1">
        <v>46241.25277777778</v>
      </c>
      <c r="I292" s="1">
        <v>46082</v>
      </c>
      <c r="J292" t="s">
        <v>13</v>
      </c>
      <c r="K292" t="str">
        <v>Available</v>
      </c>
      <c r="L292" t="str">
        <v>Available</v>
      </c>
      <c r="M292" t="str">
        <v>Available</v>
      </c>
      <c r="N292" t="str">
        <f t="shared" si="4"/>
        <v>Complete</v>
      </c>
    </row>
    <row r="293" spans="1:14" x14ac:dyDescent="0.35">
      <c r="A293" t="s">
        <v>42</v>
      </c>
      <c r="B293">
        <v>2026</v>
      </c>
      <c r="C293" t="s">
        <v>18</v>
      </c>
      <c r="D293" t="s">
        <v>12</v>
      </c>
      <c r="E293" s="2">
        <v>2.19</v>
      </c>
      <c r="F293" s="2">
        <v>14.57</v>
      </c>
      <c r="G293" s="2">
        <v>1.57</v>
      </c>
      <c r="H293" s="1">
        <v>46241.25277777778</v>
      </c>
      <c r="I293" s="1">
        <v>46082</v>
      </c>
      <c r="J293" t="s">
        <v>13</v>
      </c>
      <c r="K293" t="str">
        <v>Available</v>
      </c>
      <c r="L293" t="str">
        <v>Available</v>
      </c>
      <c r="M293" t="str">
        <v>Available</v>
      </c>
      <c r="N293" t="str">
        <f t="shared" si="4"/>
        <v>Complete</v>
      </c>
    </row>
    <row r="294" spans="1:14" x14ac:dyDescent="0.35">
      <c r="A294" t="s">
        <v>42</v>
      </c>
      <c r="B294">
        <v>2026</v>
      </c>
      <c r="C294" t="s">
        <v>19</v>
      </c>
      <c r="D294" t="s">
        <v>12</v>
      </c>
      <c r="E294" s="2">
        <v>261.93</v>
      </c>
      <c r="F294" s="2">
        <v>2060.69</v>
      </c>
      <c r="G294" s="2">
        <v>222.07</v>
      </c>
      <c r="H294" s="1">
        <v>46241.25277777778</v>
      </c>
      <c r="I294" s="1">
        <v>46082</v>
      </c>
      <c r="J294" t="s">
        <v>13</v>
      </c>
      <c r="K294" t="str">
        <v>Available</v>
      </c>
      <c r="L294" t="str">
        <v>Available</v>
      </c>
      <c r="M294" t="str">
        <v>Available</v>
      </c>
      <c r="N294" t="str">
        <f t="shared" si="4"/>
        <v>Complete</v>
      </c>
    </row>
    <row r="295" spans="1:14" x14ac:dyDescent="0.35">
      <c r="A295" t="s">
        <v>42</v>
      </c>
      <c r="B295">
        <v>2026</v>
      </c>
      <c r="C295" t="s">
        <v>20</v>
      </c>
      <c r="D295" t="s">
        <v>12</v>
      </c>
      <c r="E295" s="2">
        <v>415.76</v>
      </c>
      <c r="F295" s="2">
        <v>2307.9</v>
      </c>
      <c r="G295" s="2">
        <v>248.72</v>
      </c>
      <c r="H295" s="1">
        <v>46241.25277777778</v>
      </c>
      <c r="I295" s="1">
        <v>46082</v>
      </c>
      <c r="J295" t="s">
        <v>13</v>
      </c>
      <c r="K295" t="str">
        <v>Available</v>
      </c>
      <c r="L295" t="str">
        <v>Available</v>
      </c>
      <c r="M295" t="str">
        <v>Available</v>
      </c>
      <c r="N295" t="str">
        <f t="shared" si="4"/>
        <v>Complete</v>
      </c>
    </row>
    <row r="296" spans="1:14" x14ac:dyDescent="0.35">
      <c r="A296" t="s">
        <v>42</v>
      </c>
      <c r="B296">
        <v>2026</v>
      </c>
      <c r="C296" t="s">
        <v>21</v>
      </c>
      <c r="D296" t="s">
        <v>12</v>
      </c>
      <c r="E296" s="2">
        <v>110.84</v>
      </c>
      <c r="F296" s="2">
        <v>384.03</v>
      </c>
      <c r="G296" s="2">
        <v>41.4</v>
      </c>
      <c r="H296" s="1">
        <v>46241.25277777778</v>
      </c>
      <c r="I296" s="1">
        <v>46082</v>
      </c>
      <c r="J296" t="s">
        <v>13</v>
      </c>
      <c r="K296" t="str">
        <v>Available</v>
      </c>
      <c r="L296" t="str">
        <v>Available</v>
      </c>
      <c r="M296" t="str">
        <v>Available</v>
      </c>
      <c r="N296" t="str">
        <f t="shared" si="4"/>
        <v>Complete</v>
      </c>
    </row>
    <row r="297" spans="1:14" x14ac:dyDescent="0.35">
      <c r="A297" t="s">
        <v>42</v>
      </c>
      <c r="B297">
        <v>2026</v>
      </c>
      <c r="C297" t="s">
        <v>22</v>
      </c>
      <c r="D297" t="s">
        <v>12</v>
      </c>
      <c r="E297" s="2">
        <v>303.08</v>
      </c>
      <c r="F297" s="2">
        <v>481.22</v>
      </c>
      <c r="G297" s="2">
        <v>51.88</v>
      </c>
      <c r="H297" s="1">
        <v>46241.25277777778</v>
      </c>
      <c r="I297" s="1">
        <v>46082</v>
      </c>
      <c r="J297" t="s">
        <v>13</v>
      </c>
      <c r="K297" t="str">
        <v>Available</v>
      </c>
      <c r="L297" t="str">
        <v>Available</v>
      </c>
      <c r="M297" t="str">
        <v>Available</v>
      </c>
      <c r="N297" t="str">
        <f t="shared" si="4"/>
        <v>Complete</v>
      </c>
    </row>
    <row r="298" spans="1:14" x14ac:dyDescent="0.35">
      <c r="A298" t="s">
        <v>42</v>
      </c>
      <c r="B298">
        <v>2026</v>
      </c>
      <c r="C298" t="s">
        <v>23</v>
      </c>
      <c r="D298" t="s">
        <v>12</v>
      </c>
      <c r="E298" s="2">
        <v>177.2</v>
      </c>
      <c r="F298" s="2">
        <v>1229.76</v>
      </c>
      <c r="G298" s="2">
        <v>133.01</v>
      </c>
      <c r="H298" s="1">
        <v>46241.25277777778</v>
      </c>
      <c r="I298" s="1">
        <v>46082</v>
      </c>
      <c r="J298" t="s">
        <v>13</v>
      </c>
      <c r="K298" t="str">
        <v>Available</v>
      </c>
      <c r="L298" t="str">
        <v>Available</v>
      </c>
      <c r="M298" t="str">
        <v>Available</v>
      </c>
      <c r="N298" t="str">
        <f t="shared" si="4"/>
        <v>Complete</v>
      </c>
    </row>
    <row r="299" spans="1:14" x14ac:dyDescent="0.35">
      <c r="A299" t="s">
        <v>42</v>
      </c>
      <c r="B299">
        <v>2026</v>
      </c>
      <c r="C299" t="s">
        <v>24</v>
      </c>
      <c r="D299" t="s">
        <v>12</v>
      </c>
      <c r="E299" s="2">
        <v>2199.11</v>
      </c>
      <c r="F299" s="2">
        <v>11904.91</v>
      </c>
      <c r="G299" s="2">
        <v>1285.75</v>
      </c>
      <c r="H299" s="1">
        <v>46241.25277777778</v>
      </c>
      <c r="I299" s="1">
        <v>46082</v>
      </c>
      <c r="J299" t="s">
        <v>25</v>
      </c>
      <c r="K299" t="str">
        <v>Available</v>
      </c>
      <c r="L299" t="str">
        <v>Available</v>
      </c>
      <c r="M299" t="str">
        <v>Available</v>
      </c>
      <c r="N299" t="str">
        <f t="shared" si="4"/>
        <v>Complete</v>
      </c>
    </row>
    <row r="300" spans="1:14" x14ac:dyDescent="0.35">
      <c r="A300" t="s">
        <v>42</v>
      </c>
      <c r="B300">
        <v>2026</v>
      </c>
      <c r="C300" t="s">
        <v>26</v>
      </c>
      <c r="D300" t="s">
        <v>12</v>
      </c>
      <c r="E300" s="2">
        <v>21588.240000000002</v>
      </c>
      <c r="F300" s="2">
        <v>135304.85999999999</v>
      </c>
      <c r="G300" s="2">
        <v>14617.84</v>
      </c>
      <c r="H300" s="1">
        <v>46241.25277777778</v>
      </c>
      <c r="I300" s="1">
        <v>46082</v>
      </c>
      <c r="J300" t="s">
        <v>25</v>
      </c>
      <c r="K300" t="str">
        <v>Available</v>
      </c>
      <c r="L300" t="str">
        <v>Available</v>
      </c>
      <c r="M300" t="str">
        <v>Available</v>
      </c>
      <c r="N300" t="str">
        <f t="shared" si="4"/>
        <v>Complete</v>
      </c>
    </row>
    <row r="301" spans="1:14" x14ac:dyDescent="0.35">
      <c r="A301" t="s">
        <v>42</v>
      </c>
      <c r="B301">
        <v>2026</v>
      </c>
      <c r="C301" t="s">
        <v>14</v>
      </c>
      <c r="D301" t="s">
        <v>27</v>
      </c>
      <c r="E301" s="2">
        <v>44.68</v>
      </c>
      <c r="F301" s="2">
        <v>279.72000000000003</v>
      </c>
      <c r="G301" s="2">
        <v>32.56</v>
      </c>
      <c r="H301" s="1">
        <v>46241.25277777778</v>
      </c>
      <c r="I301" s="1">
        <v>46082</v>
      </c>
      <c r="J301" t="s">
        <v>13</v>
      </c>
      <c r="K301" t="str">
        <v>Available</v>
      </c>
      <c r="L301" t="str">
        <v>Available</v>
      </c>
      <c r="M301" t="str">
        <v>Available</v>
      </c>
      <c r="N301" t="str">
        <f t="shared" si="4"/>
        <v>Complete</v>
      </c>
    </row>
    <row r="302" spans="1:14" x14ac:dyDescent="0.35">
      <c r="A302" t="s">
        <v>42</v>
      </c>
      <c r="B302">
        <v>2026</v>
      </c>
      <c r="C302" t="s">
        <v>15</v>
      </c>
      <c r="D302" t="s">
        <v>27</v>
      </c>
      <c r="E302" s="2">
        <v>1191.25</v>
      </c>
      <c r="F302" s="2">
        <v>11941.81</v>
      </c>
      <c r="G302" s="2">
        <v>1270.1400000000001</v>
      </c>
      <c r="H302" s="1">
        <v>46241.25277777778</v>
      </c>
      <c r="I302" s="1">
        <v>46082</v>
      </c>
      <c r="J302" t="s">
        <v>13</v>
      </c>
      <c r="K302" t="str">
        <v>Available</v>
      </c>
      <c r="L302" t="str">
        <v>Available</v>
      </c>
      <c r="M302" t="str">
        <v>Available</v>
      </c>
      <c r="N302" t="str">
        <f t="shared" si="4"/>
        <v>Complete</v>
      </c>
    </row>
    <row r="303" spans="1:14" x14ac:dyDescent="0.35">
      <c r="A303" t="s">
        <v>42</v>
      </c>
      <c r="B303">
        <v>2026</v>
      </c>
      <c r="C303" t="s">
        <v>16</v>
      </c>
      <c r="D303" t="s">
        <v>27</v>
      </c>
      <c r="E303" s="2">
        <v>353.65</v>
      </c>
      <c r="F303" s="2">
        <v>3160.08</v>
      </c>
      <c r="G303" s="2">
        <v>339.77</v>
      </c>
      <c r="H303" s="1">
        <v>46241.25277777778</v>
      </c>
      <c r="I303" s="1">
        <v>46082</v>
      </c>
      <c r="J303" t="s">
        <v>13</v>
      </c>
      <c r="K303" t="str">
        <v>Available</v>
      </c>
      <c r="L303" t="str">
        <v>Available</v>
      </c>
      <c r="M303" t="str">
        <v>Available</v>
      </c>
      <c r="N303" t="str">
        <f t="shared" si="4"/>
        <v>Complete</v>
      </c>
    </row>
    <row r="304" spans="1:14" x14ac:dyDescent="0.35">
      <c r="A304" t="s">
        <v>42</v>
      </c>
      <c r="B304">
        <v>2026</v>
      </c>
      <c r="C304" t="s">
        <v>17</v>
      </c>
      <c r="D304" t="s">
        <v>27</v>
      </c>
      <c r="E304" s="2">
        <v>406.81</v>
      </c>
      <c r="F304" s="2">
        <v>5342.28</v>
      </c>
      <c r="G304" s="2">
        <v>554.73</v>
      </c>
      <c r="H304" s="1">
        <v>46241.25277777778</v>
      </c>
      <c r="I304" s="1">
        <v>46082</v>
      </c>
      <c r="J304" t="s">
        <v>13</v>
      </c>
      <c r="K304" t="str">
        <v>Available</v>
      </c>
      <c r="L304" t="str">
        <v>Available</v>
      </c>
      <c r="M304" t="str">
        <v>Available</v>
      </c>
      <c r="N304" t="str">
        <f t="shared" si="4"/>
        <v>Complete</v>
      </c>
    </row>
    <row r="305" spans="1:14" x14ac:dyDescent="0.35">
      <c r="A305" t="s">
        <v>42</v>
      </c>
      <c r="B305">
        <v>2026</v>
      </c>
      <c r="C305" t="s">
        <v>28</v>
      </c>
      <c r="D305" t="s">
        <v>27</v>
      </c>
      <c r="E305" s="2">
        <v>2.81</v>
      </c>
      <c r="F305" s="2">
        <v>20</v>
      </c>
      <c r="G305" s="2">
        <v>2.33</v>
      </c>
      <c r="H305" s="1">
        <v>46241.25277777778</v>
      </c>
      <c r="I305" s="1">
        <v>46082</v>
      </c>
      <c r="J305" t="s">
        <v>13</v>
      </c>
      <c r="K305" t="str">
        <v>Available</v>
      </c>
      <c r="L305" t="str">
        <v>Available</v>
      </c>
      <c r="M305" t="str">
        <v>Available</v>
      </c>
      <c r="N305" t="str">
        <f t="shared" si="4"/>
        <v>Complete</v>
      </c>
    </row>
    <row r="306" spans="1:14" x14ac:dyDescent="0.35">
      <c r="A306" t="s">
        <v>42</v>
      </c>
      <c r="B306">
        <v>2026</v>
      </c>
      <c r="C306" t="s">
        <v>18</v>
      </c>
      <c r="D306" t="s">
        <v>27</v>
      </c>
      <c r="E306" s="2">
        <v>2051.71</v>
      </c>
      <c r="F306" s="2">
        <v>29497.98</v>
      </c>
      <c r="G306" s="2">
        <v>3065.25</v>
      </c>
      <c r="H306" s="1">
        <v>46241.25277777778</v>
      </c>
      <c r="I306" s="1">
        <v>46082</v>
      </c>
      <c r="J306" t="s">
        <v>13</v>
      </c>
      <c r="K306" t="str">
        <v>Available</v>
      </c>
      <c r="L306" t="str">
        <v>Available</v>
      </c>
      <c r="M306" t="str">
        <v>Available</v>
      </c>
      <c r="N306" t="str">
        <f t="shared" si="4"/>
        <v>Complete</v>
      </c>
    </row>
    <row r="307" spans="1:14" x14ac:dyDescent="0.35">
      <c r="A307" t="s">
        <v>42</v>
      </c>
      <c r="B307">
        <v>2026</v>
      </c>
      <c r="C307" t="s">
        <v>19</v>
      </c>
      <c r="D307" t="s">
        <v>27</v>
      </c>
      <c r="E307" s="2">
        <v>2.17</v>
      </c>
      <c r="F307" s="2">
        <v>34.700000000000003</v>
      </c>
      <c r="G307" s="2">
        <v>3.72</v>
      </c>
      <c r="H307" s="1">
        <v>46241.25277777778</v>
      </c>
      <c r="I307" s="1">
        <v>46082</v>
      </c>
      <c r="J307" t="s">
        <v>13</v>
      </c>
      <c r="K307" t="str">
        <v>Available</v>
      </c>
      <c r="L307" t="str">
        <v>Available</v>
      </c>
      <c r="M307" t="str">
        <v>Available</v>
      </c>
      <c r="N307" t="str">
        <f t="shared" si="4"/>
        <v>Complete</v>
      </c>
    </row>
    <row r="308" spans="1:14" x14ac:dyDescent="0.35">
      <c r="A308" t="s">
        <v>42</v>
      </c>
      <c r="B308">
        <v>2026</v>
      </c>
      <c r="C308" t="s">
        <v>20</v>
      </c>
      <c r="D308" t="s">
        <v>27</v>
      </c>
      <c r="E308" s="2">
        <v>216.94</v>
      </c>
      <c r="F308" s="2">
        <v>1509.6</v>
      </c>
      <c r="G308" s="2">
        <v>160.18</v>
      </c>
      <c r="H308" s="1">
        <v>46241.25277777778</v>
      </c>
      <c r="I308" s="1">
        <v>46082</v>
      </c>
      <c r="J308" t="s">
        <v>13</v>
      </c>
      <c r="K308" t="str">
        <v>Available</v>
      </c>
      <c r="L308" t="str">
        <v>Available</v>
      </c>
      <c r="M308" t="str">
        <v>Available</v>
      </c>
      <c r="N308" t="str">
        <f t="shared" si="4"/>
        <v>Complete</v>
      </c>
    </row>
    <row r="309" spans="1:14" x14ac:dyDescent="0.35">
      <c r="A309" t="s">
        <v>42</v>
      </c>
      <c r="B309">
        <v>2026</v>
      </c>
      <c r="C309" t="s">
        <v>21</v>
      </c>
      <c r="D309" t="s">
        <v>27</v>
      </c>
      <c r="E309" s="2">
        <v>7.09</v>
      </c>
      <c r="F309" s="2">
        <v>38.92</v>
      </c>
      <c r="G309" s="2">
        <v>4.26</v>
      </c>
      <c r="H309" s="1">
        <v>46241.25277777778</v>
      </c>
      <c r="I309" s="1">
        <v>46082</v>
      </c>
      <c r="J309" t="s">
        <v>13</v>
      </c>
      <c r="K309" t="str">
        <v>Available</v>
      </c>
      <c r="L309" t="str">
        <v>Available</v>
      </c>
      <c r="M309" t="str">
        <v>Available</v>
      </c>
      <c r="N309" t="str">
        <f t="shared" si="4"/>
        <v>Complete</v>
      </c>
    </row>
    <row r="310" spans="1:14" x14ac:dyDescent="0.35">
      <c r="A310" t="s">
        <v>42</v>
      </c>
      <c r="B310">
        <v>2026</v>
      </c>
      <c r="C310" t="s">
        <v>29</v>
      </c>
      <c r="D310" t="s">
        <v>27</v>
      </c>
      <c r="E310" s="2">
        <v>11.29</v>
      </c>
      <c r="F310" s="2">
        <v>75.319999999999993</v>
      </c>
      <c r="G310" s="2">
        <v>8.08</v>
      </c>
      <c r="H310" s="1">
        <v>46241.25277777778</v>
      </c>
      <c r="I310" s="1">
        <v>46082</v>
      </c>
      <c r="J310" t="s">
        <v>13</v>
      </c>
      <c r="K310" t="str">
        <v>Available</v>
      </c>
      <c r="L310" t="str">
        <v>Available</v>
      </c>
      <c r="M310" t="str">
        <v>Available</v>
      </c>
      <c r="N310" t="str">
        <f t="shared" si="4"/>
        <v>Complete</v>
      </c>
    </row>
    <row r="311" spans="1:14" x14ac:dyDescent="0.35">
      <c r="A311" t="s">
        <v>42</v>
      </c>
      <c r="B311">
        <v>2026</v>
      </c>
      <c r="C311" t="s">
        <v>23</v>
      </c>
      <c r="D311" t="s">
        <v>27</v>
      </c>
      <c r="E311" s="2">
        <v>183.5</v>
      </c>
      <c r="F311" s="2">
        <v>925.92</v>
      </c>
      <c r="G311" s="2">
        <v>100.41</v>
      </c>
      <c r="H311" s="1">
        <v>46241.25277777778</v>
      </c>
      <c r="I311" s="1">
        <v>46082</v>
      </c>
      <c r="J311" t="s">
        <v>13</v>
      </c>
      <c r="K311" t="str">
        <v>Available</v>
      </c>
      <c r="L311" t="str">
        <v>Available</v>
      </c>
      <c r="M311" t="str">
        <v>Available</v>
      </c>
      <c r="N311" t="str">
        <f t="shared" si="4"/>
        <v>Complete</v>
      </c>
    </row>
    <row r="312" spans="1:14" x14ac:dyDescent="0.35">
      <c r="A312" t="s">
        <v>42</v>
      </c>
      <c r="B312">
        <v>2026</v>
      </c>
      <c r="C312" t="s">
        <v>30</v>
      </c>
      <c r="D312" t="s">
        <v>27</v>
      </c>
      <c r="E312" s="2">
        <v>4471.8999999999996</v>
      </c>
      <c r="F312" s="2">
        <v>52826.33</v>
      </c>
      <c r="G312" s="2">
        <v>5541.43</v>
      </c>
      <c r="H312" s="1">
        <v>46241.25277777778</v>
      </c>
      <c r="I312" s="1">
        <v>46082</v>
      </c>
      <c r="J312" t="s">
        <v>25</v>
      </c>
      <c r="K312" t="str">
        <v>Available</v>
      </c>
      <c r="L312" t="str">
        <v>Available</v>
      </c>
      <c r="M312" t="str">
        <v>Available</v>
      </c>
      <c r="N312" t="str">
        <f t="shared" si="4"/>
        <v>Complete</v>
      </c>
    </row>
    <row r="313" spans="1:14" x14ac:dyDescent="0.35">
      <c r="A313" t="s">
        <v>42</v>
      </c>
      <c r="B313">
        <v>2026</v>
      </c>
      <c r="C313" t="s">
        <v>31</v>
      </c>
      <c r="D313" t="s">
        <v>27</v>
      </c>
      <c r="E313" s="2">
        <v>17116.34</v>
      </c>
      <c r="F313" s="2">
        <v>82478.53</v>
      </c>
      <c r="G313" s="2">
        <v>9076.41</v>
      </c>
      <c r="H313" s="1">
        <v>46241.25277777778</v>
      </c>
      <c r="I313" s="1">
        <v>46082</v>
      </c>
      <c r="J313" t="s">
        <v>25</v>
      </c>
      <c r="K313" t="str">
        <v>Available</v>
      </c>
      <c r="L313" t="str">
        <v>Available</v>
      </c>
      <c r="M313" t="str">
        <v>Available</v>
      </c>
      <c r="N313" t="str">
        <f t="shared" si="4"/>
        <v>Complete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518e560e-7fa7-4f5b-8aed-3b90323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rai</cp:lastModifiedBy>
  <dcterms:created xsi:type="dcterms:W3CDTF">2026-08-16T20:56:10Z</dcterms:created>
  <dcterms:modified xsi:type="dcterms:W3CDTF">2026-08-18T21:42:10Z</dcterms:modified>
</cp:coreProperties>
</file>